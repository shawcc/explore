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100" windowHeight="14120" tabRatio="600" firstSheet="0" activeTab="3" autoFilterDateGrouping="1"/>
  </bookViews>
  <sheets>
    <sheet name="使用说明" sheetId="1" state="visible" r:id="rId1"/>
    <sheet name="案例录入表" sheetId="2" state="visible" r:id="rId2"/>
    <sheet name="场景表" sheetId="3" state="visible" r:id="rId3"/>
    <sheet name="产品表" sheetId="4" state="visible" r:id="rId4"/>
    <sheet name="场景产品关系表" sheetId="5" state="visible" r:id="rId5"/>
    <sheet name="字段说明" sheetId="6" state="visible" r:id="rId6"/>
    <sheet name="枚举与规范" sheetId="7" state="visible" r:id="rId7"/>
    <sheet name="数据检查" sheetId="8" state="visible" r:id="rId8"/>
    <sheet name="录入字典" sheetId="9" state="hidden" r:id="rId9"/>
  </sheets>
  <definedNames>
    <definedName name="_xlnm._FilterDatabase" localSheetId="1" hidden="1">'案例录入表'!$A$1:$K$201</definedName>
    <definedName name="_xlnm._FilterDatabase" localSheetId="2" hidden="1">'场景表'!$A$1:$Q$19</definedName>
    <definedName name="_xlnm._FilterDatabase" localSheetId="3" hidden="1">'产品表'!$A$1:$U$49</definedName>
    <definedName name="_xlnm._FilterDatabase" localSheetId="4" hidden="1">'场景产品关系表'!$A$1:$O$21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4F3692"/>
    </font>
  </fonts>
  <fills count="35">
    <fill>
      <patternFill/>
    </fill>
    <fill>
      <patternFill patternType="gray125"/>
    </fill>
    <fill>
      <patternFill patternType="solid">
        <fgColor rgb="FF3B5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DE8FF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48B1"/>
      </bottom>
      <diagonal/>
    </border>
    <border>
      <left/>
      <right/>
      <top/>
      <bottom style="thin">
        <color rgb="FFDDE1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4" borderId="6" applyAlignment="1">
      <alignment vertical="center"/>
    </xf>
    <xf numFmtId="0" fontId="11" fillId="5" borderId="7" applyAlignment="1">
      <alignment vertical="center"/>
    </xf>
    <xf numFmtId="0" fontId="12" fillId="5" borderId="6" applyAlignment="1">
      <alignment vertical="center"/>
    </xf>
    <xf numFmtId="0" fontId="13" fillId="6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21" fillId="3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FF4E6"/>
        </patternFill>
      </fill>
    </dxf>
    <dxf>
      <fill>
        <patternFill patternType="solid">
          <fgColor rgb="FFE6FC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TRAE</author>
  </authors>
  <commentList>
    <comment ref="A1" authorId="0" shapeId="0">
      <text>
        <t>稳定主键，已预生成。请勿修改或重复使用。</t>
      </text>
    </comment>
    <comment ref="B1" authorId="0" shapeId="0">
      <text>
        <t>更新已有场景时选择；新增场景时留空。</t>
      </text>
    </comment>
    <comment ref="C1" authorId="0" shapeId="0">
      <text>
        <t>必填。填写用户能理解的业务场景，不填产品功能名。</t>
      </text>
    </comment>
    <comment ref="D1" authorId="0" shapeId="0">
      <text>
        <t>填写真实案例、问题、输入材料、执行过程和产出，不必润色。</t>
      </text>
    </comment>
    <comment ref="E1" authorId="0" shapeId="0">
      <text>
        <t>已有 AI 应用时从下拉列表选择；新 AI 应用留空。</t>
      </text>
    </comment>
    <comment ref="F1" authorId="0" shapeId="0">
      <text>
        <t>必填。已有应用需与所选 ID 对应；新应用直接填写名称。</t>
      </text>
    </comment>
    <comment ref="G1" authorId="0" shapeId="0">
      <text>
        <t>多选使用全角竖线｜分隔，例如：互联网｜金融。</t>
      </text>
    </comment>
    <comment ref="H1" authorId="0" shapeId="0">
      <text>
        <t>好方法可填写；新场景可留空。多选使用全角竖线｜分隔。</t>
      </text>
    </comment>
    <comment ref="I1" authorId="0" shapeId="0">
      <text>
        <t>填写可追溯的产品页、文档或案例链接。</t>
      </text>
    </comment>
    <comment ref="J1" authorId="0" shapeId="0">
      <text>
        <t>说明哪些是公开事实、内部案例、模拟内容或待确认信息。</t>
      </text>
    </comment>
    <comment ref="K1" authorId="0" shapeId="0">
      <text>
        <t>自动计算。同步程序只按 ID 更新，不按名称猜测。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2" customWidth="1" min="1" max="1"/>
    <col width="100" customWidth="1" min="2" max="2"/>
  </cols>
  <sheetData>
    <row r="1" ht="30" customHeight="1">
      <c r="A1" s="1" t="inlineStr">
        <is>
          <t>内容数据库使用说明</t>
        </is>
      </c>
      <c r="B1" s="1" t="inlineStr">
        <is>
          <t>说明</t>
        </is>
      </c>
    </row>
    <row r="2" ht="17" customHeight="1">
      <c r="A2" s="2" t="inlineStr">
        <is>
          <t>文件用途</t>
        </is>
      </c>
      <c r="B2" s="2" t="inlineStr">
        <is>
          <t>本工作簿是“发现更多可能”页面的内容数据库。后续页面内容以此文件为准。</t>
        </is>
      </c>
    </row>
    <row r="3" ht="17" customHeight="1">
      <c r="A3" s="2" t="inlineStr">
        <is>
          <t>编辑顺序</t>
        </is>
      </c>
      <c r="B3" s="2" t="inlineStr">
        <is>
          <t>先维护“产品表”，再维护“场景表”，最后用“场景产品关系表”连接两者。</t>
        </is>
      </c>
    </row>
    <row r="4" ht="17" customHeight="1">
      <c r="A4" s="2" t="inlineStr">
        <is>
          <t>真实性原则</t>
        </is>
      </c>
      <c r="B4" s="2" t="inlineStr">
        <is>
          <t>所有“模拟待校准”内容仅用于演示。真实产品名称、客户、数据、图片和链接上线前必须核实。</t>
        </is>
      </c>
    </row>
    <row r="5" ht="17" customHeight="1">
      <c r="A5" s="2" t="inlineStr">
        <is>
          <t>多选分隔符</t>
        </is>
      </c>
      <c r="B5" s="2" t="inlineStr">
        <is>
          <t>行业、角色、标签、能力、步骤等多选字段统一使用全角竖线 ｜ 分隔。</t>
        </is>
      </c>
    </row>
    <row r="6" ht="17" customHeight="1">
      <c r="A6" s="2" t="inlineStr">
        <is>
          <t>推荐页取数</t>
        </is>
      </c>
      <c r="B6" s="2" t="inlineStr">
        <is>
          <t>场景表 + 场景产品关系表；上半部分取场景信息，下方左侧取场景说明，右侧取使用方法。</t>
        </is>
      </c>
    </row>
    <row r="7" ht="17" customHeight="1">
      <c r="A7" s="2" t="inlineStr">
        <is>
          <t>产品目录取数</t>
        </is>
      </c>
      <c r="B7" s="2" t="inlineStr">
        <is>
          <t>产品表；产品详情中的典型场景通过关系表反查。</t>
        </is>
      </c>
    </row>
    <row r="8" ht="17" customHeight="1">
      <c r="A8" s="2" t="inlineStr">
        <is>
          <t>AI 提示词边界</t>
        </is>
      </c>
      <c r="B8" s="2" t="inlineStr">
        <is>
          <t>AI 应用产品本身不展示提示词；参考提示词只存在于推荐场景与产品的关系记录中。</t>
        </is>
      </c>
    </row>
    <row r="9" ht="17" customHeight="1">
      <c r="A9" s="2" t="inlineStr">
        <is>
          <t>轻应用边界</t>
        </is>
      </c>
      <c r="B9" s="2" t="inlineStr">
        <is>
          <t>产品类型可为“轻应用”，但“目录是否展示”必须为“否”，只通过推荐场景出现。</t>
        </is>
      </c>
    </row>
    <row r="10" ht="17" customHeight="1">
      <c r="A10" s="2" t="inlineStr">
        <is>
          <t>图片填写</t>
        </is>
      </c>
      <c r="B10" s="2" t="inlineStr">
        <is>
          <t>可填写 HTTPS URL 或项目内相对路径。空白时页面使用默认视觉。</t>
        </is>
      </c>
    </row>
    <row r="11" ht="17" customHeight="1">
      <c r="A11" s="2" t="inlineStr">
        <is>
          <t>链接填写</t>
        </is>
      </c>
      <c r="B11" s="2" t="inlineStr">
        <is>
          <t>模板、解决方案填写真实目标链接；插件填写 PRD；轻应用填写搭建说明；AI 应用填写配置说明。</t>
        </is>
      </c>
    </row>
    <row r="12" ht="17" customHeight="1">
      <c r="A12" s="2" t="inlineStr">
        <is>
          <t>当前模拟规模</t>
        </is>
      </c>
      <c r="B12" s="2" t="inlineStr">
        <is>
          <t>推荐场景 18；AI 应用 12；插件 12；模板 12；解决方案 6；轻应用 6（仅推荐）。</t>
        </is>
      </c>
    </row>
    <row r="13">
      <c r="A13" s="2" t="n"/>
      <c r="B13" s="2" t="n"/>
    </row>
    <row r="14" ht="17" customHeight="1">
      <c r="A14" s="3" t="inlineStr">
        <is>
          <t>数据统计</t>
        </is>
      </c>
      <c r="B14" s="3" t="inlineStr">
        <is>
          <t>数量</t>
        </is>
      </c>
    </row>
    <row r="15" ht="17" customHeight="1">
      <c r="A15" s="2" t="inlineStr">
        <is>
          <t>推荐场景</t>
        </is>
      </c>
      <c r="B15" s="2" t="n">
        <v>18</v>
      </c>
    </row>
    <row r="16" ht="17" customHeight="1">
      <c r="A16" s="2" t="inlineStr">
        <is>
          <t>AI应用</t>
        </is>
      </c>
      <c r="B16" s="2" t="n">
        <v>12</v>
      </c>
    </row>
    <row r="17" ht="17" customHeight="1">
      <c r="A17" s="2" t="inlineStr">
        <is>
          <t>插件</t>
        </is>
      </c>
      <c r="B17" s="2" t="n">
        <v>12</v>
      </c>
    </row>
    <row r="18" ht="17" customHeight="1">
      <c r="A18" s="2" t="inlineStr">
        <is>
          <t>模板</t>
        </is>
      </c>
      <c r="B18" s="2" t="n">
        <v>12</v>
      </c>
    </row>
    <row r="19" ht="17" customHeight="1">
      <c r="A19" s="2" t="inlineStr">
        <is>
          <t>解决方案</t>
        </is>
      </c>
      <c r="B19" s="2" t="n">
        <v>6</v>
      </c>
    </row>
    <row r="20" ht="17" customHeight="1">
      <c r="A20" s="2" t="inlineStr">
        <is>
          <t>轻应用</t>
        </is>
      </c>
      <c r="B20" s="2" t="n">
        <v>6</v>
      </c>
    </row>
    <row r="21" ht="17" customHeight="1">
      <c r="A21" s="2" t="inlineStr">
        <is>
          <t>场景产品关系</t>
        </is>
      </c>
      <c r="B21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26" customWidth="1" min="3" max="3"/>
    <col width="54" customWidth="1" min="4" max="4"/>
    <col width="18" customWidth="1" min="5" max="5"/>
    <col width="25" customWidth="1" min="6" max="6"/>
    <col width="28" customWidth="1" min="7" max="7"/>
    <col width="28" customWidth="1" min="8" max="8"/>
    <col width="44" customWidth="1" min="9" max="9"/>
    <col width="38" customWidth="1" min="10" max="10"/>
    <col width="20" customWidth="1" min="11" max="11"/>
  </cols>
  <sheetData>
    <row r="1">
      <c r="A1" s="4" t="inlineStr">
        <is>
          <t>案例ID</t>
        </is>
      </c>
      <c r="B1" s="4" t="inlineStr">
        <is>
          <t>关联场景ID（可选）</t>
        </is>
      </c>
      <c r="C1" s="4" t="inlineStr">
        <is>
          <t>场景名称</t>
        </is>
      </c>
      <c r="D1" s="4" t="inlineStr">
        <is>
          <t>原始场景描述</t>
        </is>
      </c>
      <c r="E1" s="4" t="inlineStr">
        <is>
          <t>AI应用ID（可选）</t>
        </is>
      </c>
      <c r="F1" s="4" t="inlineStr">
        <is>
          <t>AI应用名称</t>
        </is>
      </c>
      <c r="G1" s="4" t="inlineStr">
        <is>
          <t>适用行业</t>
        </is>
      </c>
      <c r="H1" s="4" t="inlineStr">
        <is>
          <t>适用角色</t>
        </is>
      </c>
      <c r="I1" s="4" t="inlineStr">
        <is>
          <t>来源URL</t>
        </is>
      </c>
      <c r="J1" s="4" t="inlineStr">
        <is>
          <t>真实性备注</t>
        </is>
      </c>
      <c r="K1" s="4" t="inlineStr">
        <is>
          <t>匹配状态</t>
        </is>
      </c>
    </row>
    <row r="2">
      <c r="A2" s="5" t="inlineStr">
        <is>
          <t>CASE-0001</t>
        </is>
      </c>
      <c r="B2" s="5" t="inlineStr">
        <is>
          <t>S001</t>
        </is>
      </c>
      <c r="C2" s="5" t="inlineStr">
        <is>
          <t>补全客户信息</t>
        </is>
      </c>
      <c r="D2" s="5" t="inlineStr">
        <is>
          <t>需求评审后，AI 自动从会议纪要、邮件中提取关键信息，一键回填到飞书项目字段，无需手动逐条录入。</t>
        </is>
      </c>
      <c r="E2" s="5" t="inlineStr">
        <is>
          <t>A008</t>
        </is>
      </c>
      <c r="F2" s="5" t="inlineStr">
        <is>
          <t>AI 智能填单</t>
        </is>
      </c>
      <c r="G2" s="5" t="inlineStr">
        <is>
          <t>互联网</t>
        </is>
      </c>
      <c r="H2" s="5" t="inlineStr">
        <is>
          <t>产品经理</t>
        </is>
      </c>
      <c r="I2" s="5" t="n"/>
      <c r="J2" s="5" t="inlineStr">
        <is>
          <t>用户筛选 CSV 序号 1；图片：https://aka.doubaocdn.com/s/IMKcg667UN</t>
        </is>
      </c>
      <c r="K2" s="5">
        <f>IF(COUNTA(C2:D2,F2)=0,"",IF(B2="",IF(E2="",IF(F2="","待填AI应用","待建产品"),IF(COUNTIF('录入字典'!$C$2:$C$200,E2)=0,"AI应用ID无效",IF(F2="","补充AI应用名称",IF(F2&lt;&gt;VLOOKUP(E2,'录入字典'!$C$2:$D$200,2,FALSE),"AI应用名称与ID不一致","可同步")))),IF(COUNTIF('录入字典'!$A$2:$A$200,B2)=0,"场景ID无效",IF(C2&lt;&gt;VLOOKUP(B2,'录入字典'!$A$2:$B$200,2,FALSE),"场景名称与ID不一致",IF(E2="",IF(F2="","待填AI应用","待建产品"),IF(COUNTIF('录入字典'!$C$2:$C$200,E2)=0,"AI应用ID无效",IF(F2="","补充AI应用名称",IF(F2&lt;&gt;VLOOKUP(E2,'录入字典'!$C$2:$D$200,2,FALSE),"AI应用名称与ID不一致","可同步"))))))))</f>
        <v/>
      </c>
    </row>
    <row r="3">
      <c r="A3" s="5" t="inlineStr">
        <is>
          <t>CASE-0002</t>
        </is>
      </c>
      <c r="B3" s="5" t="inlineStr">
        <is>
          <t>S002</t>
        </is>
      </c>
      <c r="C3" s="5" t="inlineStr">
        <is>
          <t>拆解会议任务</t>
        </is>
      </c>
      <c r="D3" s="5" t="inlineStr">
        <is>
          <t>需求评审会结束后，AI 自动提取所有待办项和决策要点，一键生成飞书项目子任务并关联到对应工作项，从讨论到执行无缝衔接。</t>
        </is>
      </c>
      <c r="E3" s="5" t="inlineStr">
        <is>
          <t>A012</t>
        </is>
      </c>
      <c r="F3" s="5" t="inlineStr">
        <is>
          <t>AI 智能会议分析</t>
        </is>
      </c>
      <c r="G3" s="5" t="inlineStr">
        <is>
          <t>互联网</t>
        </is>
      </c>
      <c r="H3" s="5" t="inlineStr">
        <is>
          <t>项目经理</t>
        </is>
      </c>
      <c r="I3" s="5" t="n"/>
      <c r="J3" s="5" t="inlineStr">
        <is>
          <t>用户筛选 CSV 序号 2；图片：https://aka.doubaocdn.com/s/cqI7oo1jGy</t>
        </is>
      </c>
      <c r="K3" s="5">
        <f>IF(COUNTA(C3:D3,F3)=0,"",IF(B3="",IF(E3="",IF(F3="","待填AI应用","待建产品"),IF(COUNTIF('录入字典'!$C$2:$C$200,E3)=0,"AI应用ID无效",IF(F3="","补充AI应用名称",IF(F3&lt;&gt;VLOOKUP(E3,'录入字典'!$C$2:$D$200,2,FALSE),"AI应用名称与ID不一致","可同步")))),IF(COUNTIF('录入字典'!$A$2:$A$200,B3)=0,"场景ID无效",IF(C3&lt;&gt;VLOOKUP(B3,'录入字典'!$A$2:$B$200,2,FALSE),"场景名称与ID不一致",IF(E3="",IF(F3="","待填AI应用","待建产品"),IF(COUNTIF('录入字典'!$C$2:$C$200,E3)=0,"AI应用ID无效",IF(F3="","补充AI应用名称",IF(F3&lt;&gt;VLOOKUP(E3,'录入字典'!$C$2:$D$200,2,FALSE),"AI应用名称与ID不一致","可同步"))))))))</f>
        <v/>
      </c>
    </row>
    <row r="4">
      <c r="A4" s="5" t="inlineStr">
        <is>
          <t>CASE-0003</t>
        </is>
      </c>
      <c r="B4" s="5" t="inlineStr">
        <is>
          <t>S003</t>
        </is>
      </c>
      <c r="C4" s="5" t="inlineStr">
        <is>
          <t>创建外部工单</t>
        </is>
      </c>
      <c r="D4" s="5" t="inlineStr">
        <is>
          <t>客服系统、邮件、飞书群中的用户反馈，AI 自动识别并创建为标准工单，无需人工逐个录入，大幅提升工单处理效率。</t>
        </is>
      </c>
      <c r="E4" s="5" t="inlineStr">
        <is>
          <t>A013</t>
        </is>
      </c>
      <c r="F4" s="5" t="inlineStr">
        <is>
          <t>AI 助手</t>
        </is>
      </c>
      <c r="G4" s="5" t="inlineStr">
        <is>
          <t>医疗</t>
        </is>
      </c>
      <c r="H4" s="5" t="inlineStr">
        <is>
          <t>运营</t>
        </is>
      </c>
      <c r="I4" s="5" t="n"/>
      <c r="J4" s="5" t="inlineStr">
        <is>
          <t>用户筛选 CSV 序号 3；图片：https://aka.doubaocdn.com/s/OJkgxeTgKd</t>
        </is>
      </c>
      <c r="K4" s="5">
        <f>IF(COUNTA(C4:D4,F4)=0,"",IF(B4="",IF(E4="",IF(F4="","待填AI应用","待建产品"),IF(COUNTIF('录入字典'!$C$2:$C$200,E4)=0,"AI应用ID无效",IF(F4="","补充AI应用名称",IF(F4&lt;&gt;VLOOKUP(E4,'录入字典'!$C$2:$D$200,2,FALSE),"AI应用名称与ID不一致","可同步")))),IF(COUNTIF('录入字典'!$A$2:$A$200,B4)=0,"场景ID无效",IF(C4&lt;&gt;VLOOKUP(B4,'录入字典'!$A$2:$B$200,2,FALSE),"场景名称与ID不一致",IF(E4="",IF(F4="","待填AI应用","待建产品"),IF(COUNTIF('录入字典'!$C$2:$C$200,E4)=0,"AI应用ID无效",IF(F4="","补充AI应用名称",IF(F4&lt;&gt;VLOOKUP(E4,'录入字典'!$C$2:$D$200,2,FALSE),"AI应用名称与ID不一致","可同步"))))))))</f>
        <v/>
      </c>
    </row>
    <row r="5">
      <c r="A5" s="5" t="inlineStr">
        <is>
          <t>CASE-0004</t>
        </is>
      </c>
      <c r="B5" s="5" t="inlineStr">
        <is>
          <t>S004</t>
        </is>
      </c>
      <c r="C5" s="5" t="inlineStr">
        <is>
          <t>创建邮件任务</t>
        </is>
      </c>
      <c r="D5" s="5" t="inlineStr">
        <is>
          <t>客户或合作方通过邮件提交的需求，AI 自动解析邮件内容并生成飞书项目工作项，避免遗漏重要邮件中的待办事项。</t>
        </is>
      </c>
      <c r="E5" s="5" t="inlineStr">
        <is>
          <t>A013</t>
        </is>
      </c>
      <c r="F5" s="5" t="inlineStr">
        <is>
          <t>AI 助手</t>
        </is>
      </c>
      <c r="G5" s="5" t="inlineStr">
        <is>
          <t>互联网</t>
        </is>
      </c>
      <c r="H5" s="5" t="inlineStr">
        <is>
          <t>产品经理</t>
        </is>
      </c>
      <c r="I5" s="5" t="n"/>
      <c r="J5" s="5" t="inlineStr">
        <is>
          <t>用户筛选 CSV 序号 4；图片：https://aka.doubaocdn.com/s/bv0qSfwVgG</t>
        </is>
      </c>
      <c r="K5" s="5">
        <f>IF(COUNTA(C5:D5,F5)=0,"",IF(B5="",IF(E5="",IF(F5="","待填AI应用","待建产品"),IF(COUNTIF('录入字典'!$C$2:$C$200,E5)=0,"AI应用ID无效",IF(F5="","补充AI应用名称",IF(F5&lt;&gt;VLOOKUP(E5,'录入字典'!$C$2:$D$200,2,FALSE),"AI应用名称与ID不一致","可同步")))),IF(COUNTIF('录入字典'!$A$2:$A$200,B5)=0,"场景ID无效",IF(C5&lt;&gt;VLOOKUP(B5,'录入字典'!$A$2:$B$200,2,FALSE),"场景名称与ID不一致",IF(E5="",IF(F5="","待填AI应用","待建产品"),IF(COUNTIF('录入字典'!$C$2:$C$200,E5)=0,"AI应用ID无效",IF(F5="","补充AI应用名称",IF(F5&lt;&gt;VLOOKUP(E5,'录入字典'!$C$2:$D$200,2,FALSE),"AI应用名称与ID不一致","可同步"))))))))</f>
        <v/>
      </c>
    </row>
    <row r="6">
      <c r="A6" s="5" t="inlineStr">
        <is>
          <t>CASE-0005</t>
        </is>
      </c>
      <c r="B6" s="5" t="inlineStr">
        <is>
          <t>S005</t>
        </is>
      </c>
      <c r="C6" s="5" t="inlineStr">
        <is>
          <t>提取合同条款</t>
        </is>
      </c>
      <c r="D6" s="5" t="inlineStr">
        <is>
          <t>上传合同文件后，AI 自动提取金额、期限、违约责任等关键条款，结构化录入到工作项字段，减少人工核对时间。</t>
        </is>
      </c>
      <c r="E6" s="5" t="inlineStr">
        <is>
          <t>A013</t>
        </is>
      </c>
      <c r="F6" s="5" t="inlineStr">
        <is>
          <t>AI 助手</t>
        </is>
      </c>
      <c r="G6" s="5" t="inlineStr">
        <is>
          <t>金融</t>
        </is>
      </c>
      <c r="H6" s="5" t="inlineStr">
        <is>
          <t>销售</t>
        </is>
      </c>
      <c r="I6" s="5" t="n"/>
      <c r="J6" s="5" t="inlineStr">
        <is>
          <t>用户筛选 CSV 序号 5；图片：https://aka.doubaocdn.com/s/DJabXgkph8</t>
        </is>
      </c>
      <c r="K6" s="5">
        <f>IF(COUNTA(C6:D6,F6)=0,"",IF(B6="",IF(E6="",IF(F6="","待填AI应用","待建产品"),IF(COUNTIF('录入字典'!$C$2:$C$200,E6)=0,"AI应用ID无效",IF(F6="","补充AI应用名称",IF(F6&lt;&gt;VLOOKUP(E6,'录入字典'!$C$2:$D$200,2,FALSE),"AI应用名称与ID不一致","可同步")))),IF(COUNTIF('录入字典'!$A$2:$A$200,B6)=0,"场景ID无效",IF(C6&lt;&gt;VLOOKUP(B6,'录入字典'!$A$2:$B$200,2,FALSE),"场景名称与ID不一致",IF(E6="",IF(F6="","待填AI应用","待建产品"),IF(COUNTIF('录入字典'!$C$2:$C$200,E6)=0,"AI应用ID无效",IF(F6="","补充AI应用名称",IF(F6&lt;&gt;VLOOKUP(E6,'录入字典'!$C$2:$D$200,2,FALSE),"AI应用名称与ID不一致","可同步"))))))))</f>
        <v/>
      </c>
    </row>
    <row r="7">
      <c r="A7" s="5" t="inlineStr">
        <is>
          <t>CASE-0006</t>
        </is>
      </c>
      <c r="B7" s="5" t="inlineStr">
        <is>
          <t>S006</t>
        </is>
      </c>
      <c r="C7" s="5" t="inlineStr">
        <is>
          <t>分类客户反馈</t>
        </is>
      </c>
      <c r="D7" s="5" t="inlineStr">
        <is>
          <t>客服收到用户反馈后，AI 节点自动判断是 Bug、需求还是咨询，秒级路由到对应模块，减少人工分类和转派时间。</t>
        </is>
      </c>
      <c r="E7" s="5" t="inlineStr">
        <is>
          <t>A013</t>
        </is>
      </c>
      <c r="F7" s="5" t="inlineStr">
        <is>
          <t>AI 助手</t>
        </is>
      </c>
      <c r="G7" s="5" t="inlineStr">
        <is>
          <t>游戏</t>
        </is>
      </c>
      <c r="H7" s="5" t="inlineStr">
        <is>
          <t>运营</t>
        </is>
      </c>
      <c r="I7" s="5" t="n"/>
      <c r="J7" s="5" t="inlineStr">
        <is>
          <t>用户筛选 CSV 序号 6；图片：https://aka.doubaocdn.com/s/OJkgxeTgKd</t>
        </is>
      </c>
      <c r="K7" s="5">
        <f>IF(COUNTA(C7:D7,F7)=0,"",IF(B7="",IF(E7="",IF(F7="","待填AI应用","待建产品"),IF(COUNTIF('录入字典'!$C$2:$C$200,E7)=0,"AI应用ID无效",IF(F7="","补充AI应用名称",IF(F7&lt;&gt;VLOOKUP(E7,'录入字典'!$C$2:$D$200,2,FALSE),"AI应用名称与ID不一致","可同步")))),IF(COUNTIF('录入字典'!$A$2:$A$200,B7)=0,"场景ID无效",IF(C7&lt;&gt;VLOOKUP(B7,'录入字典'!$A$2:$B$200,2,FALSE),"场景名称与ID不一致",IF(E7="",IF(F7="","待填AI应用","待建产品"),IF(COUNTIF('录入字典'!$C$2:$C$200,E7)=0,"AI应用ID无效",IF(F7="","补充AI应用名称",IF(F7&lt;&gt;VLOOKUP(E7,'录入字典'!$C$2:$D$200,2,FALSE),"AI应用名称与ID不一致","可同步"))))))))</f>
        <v/>
      </c>
    </row>
    <row r="8">
      <c r="A8" s="5" t="inlineStr">
        <is>
          <t>CASE-0007</t>
        </is>
      </c>
      <c r="B8" s="5" t="inlineStr">
        <is>
          <t>S007</t>
        </is>
      </c>
      <c r="C8" s="5" t="inlineStr">
        <is>
          <t>分派研发需求</t>
        </is>
      </c>
      <c r="D8" s="5" t="inlineStr">
        <is>
          <t>新需求进入开发阶段时，AI 自动匹配最合适的开发人员，兼顾技能匹配度和当前工作负载，避免忙闲不均，减少人工派单时间。</t>
        </is>
      </c>
      <c r="E8" s="5" t="inlineStr">
        <is>
          <t>A014</t>
        </is>
      </c>
      <c r="F8" s="5" t="inlineStr">
        <is>
          <t>AI 智能分配</t>
        </is>
      </c>
      <c r="G8" s="5" t="inlineStr">
        <is>
          <t>互联网</t>
        </is>
      </c>
      <c r="H8" s="5" t="inlineStr">
        <is>
          <t>项目经理</t>
        </is>
      </c>
      <c r="I8" s="5" t="n"/>
      <c r="J8" s="5" t="inlineStr">
        <is>
          <t>用户筛选 CSV 序号 7；图片：https://aka.doubaocdn.com/s/nvmVJKYDTY</t>
        </is>
      </c>
      <c r="K8" s="5">
        <f>IF(COUNTA(C8:D8,F8)=0,"",IF(B8="",IF(E8="",IF(F8="","待填AI应用","待建产品"),IF(COUNTIF('录入字典'!$C$2:$C$200,E8)=0,"AI应用ID无效",IF(F8="","补充AI应用名称",IF(F8&lt;&gt;VLOOKUP(E8,'录入字典'!$C$2:$D$200,2,FALSE),"AI应用名称与ID不一致","可同步")))),IF(COUNTIF('录入字典'!$A$2:$A$200,B8)=0,"场景ID无效",IF(C8&lt;&gt;VLOOKUP(B8,'录入字典'!$A$2:$B$200,2,FALSE),"场景名称与ID不一致",IF(E8="",IF(F8="","待填AI应用","待建产品"),IF(COUNTIF('录入字典'!$C$2:$C$200,E8)=0,"AI应用ID无效",IF(F8="","补充AI应用名称",IF(F8&lt;&gt;VLOOKUP(E8,'录入字典'!$C$2:$D$200,2,FALSE),"AI应用名称与ID不一致","可同步"))))))))</f>
        <v/>
      </c>
    </row>
    <row r="9">
      <c r="A9" s="5" t="inlineStr">
        <is>
          <t>CASE-0008</t>
        </is>
      </c>
      <c r="B9" s="5" t="inlineStr">
        <is>
          <t>S008</t>
        </is>
      </c>
      <c r="C9" s="5" t="inlineStr">
        <is>
          <t>评定缺陷等级</t>
        </is>
      </c>
      <c r="D9" s="5" t="inlineStr">
        <is>
          <t>测试提交 Bug 后，AI 根据严重程度、影响范围和修复成本自动分级，并推荐对应的处理人，让缺陷管理更有条理。</t>
        </is>
      </c>
      <c r="E9" s="5" t="inlineStr">
        <is>
          <t>A015</t>
        </is>
      </c>
      <c r="F9" s="5" t="inlineStr">
        <is>
          <t>AI 缺陷分级</t>
        </is>
      </c>
      <c r="G9" s="5" t="inlineStr">
        <is>
          <t>游戏</t>
        </is>
      </c>
      <c r="H9" s="5" t="inlineStr">
        <is>
          <t>测试</t>
        </is>
      </c>
      <c r="I9" s="5" t="n"/>
      <c r="J9" s="5" t="inlineStr">
        <is>
          <t>用户筛选 CSV 序号 8；图片：https://aka.doubaocdn.com/s/CvvUzmrizE</t>
        </is>
      </c>
      <c r="K9" s="5">
        <f>IF(COUNTA(C9:D9,F9)=0,"",IF(B9="",IF(E9="",IF(F9="","待填AI应用","待建产品"),IF(COUNTIF('录入字典'!$C$2:$C$200,E9)=0,"AI应用ID无效",IF(F9="","补充AI应用名称",IF(F9&lt;&gt;VLOOKUP(E9,'录入字典'!$C$2:$D$200,2,FALSE),"AI应用名称与ID不一致","可同步")))),IF(COUNTIF('录入字典'!$A$2:$A$200,B9)=0,"场景ID无效",IF(C9&lt;&gt;VLOOKUP(B9,'录入字典'!$A$2:$B$200,2,FALSE),"场景名称与ID不一致",IF(E9="",IF(F9="","待填AI应用","待建产品"),IF(COUNTIF('录入字典'!$C$2:$C$200,E9)=0,"AI应用ID无效",IF(F9="","补充AI应用名称",IF(F9&lt;&gt;VLOOKUP(E9,'录入字典'!$C$2:$D$200,2,FALSE),"AI应用名称与ID不一致","可同步"))))))))</f>
        <v/>
      </c>
    </row>
    <row r="10">
      <c r="A10" s="5" t="inlineStr">
        <is>
          <t>CASE-0009</t>
        </is>
      </c>
      <c r="B10" s="5" t="inlineStr">
        <is>
          <t>S009</t>
        </is>
      </c>
      <c r="C10" s="5" t="inlineStr">
        <is>
          <t>分流客服工单</t>
        </is>
      </c>
      <c r="D10" s="5" t="inlineStr">
        <is>
          <t>电商平台的客服工单根据产品线、问题类型和用户等级自动分流到对应处理组，SLA 超时自动升级，确保每个工单都被及时处理。</t>
        </is>
      </c>
      <c r="E10" s="5" t="inlineStr">
        <is>
          <t>A016</t>
        </is>
      </c>
      <c r="F10" s="5" t="inlineStr">
        <is>
          <t>AI 工单分流</t>
        </is>
      </c>
      <c r="G10" s="5" t="inlineStr">
        <is>
          <t>零售</t>
        </is>
      </c>
      <c r="H10" s="5" t="inlineStr">
        <is>
          <t>运营</t>
        </is>
      </c>
      <c r="I10" s="5" t="n"/>
      <c r="J10" s="5" t="inlineStr">
        <is>
          <t>用户筛选 CSV 序号 9；图片：https://aka.doubaocdn.com/s/RAu5lPDwZP</t>
        </is>
      </c>
      <c r="K10" s="5">
        <f>IF(COUNTA(C10:D10,F10)=0,"",IF(B10="",IF(E10="",IF(F10="","待填AI应用","待建产品"),IF(COUNTIF('录入字典'!$C$2:$C$200,E10)=0,"AI应用ID无效",IF(F10="","补充AI应用名称",IF(F10&lt;&gt;VLOOKUP(E10,'录入字典'!$C$2:$D$200,2,FALSE),"AI应用名称与ID不一致","可同步")))),IF(COUNTIF('录入字典'!$A$2:$A$200,B10)=0,"场景ID无效",IF(C10&lt;&gt;VLOOKUP(B10,'录入字典'!$A$2:$B$200,2,FALSE),"场景名称与ID不一致",IF(E10="",IF(F10="","待填AI应用","待建产品"),IF(COUNTIF('录入字典'!$C$2:$C$200,E10)=0,"AI应用ID无效",IF(F10="","补充AI应用名称",IF(F10&lt;&gt;VLOOKUP(E10,'录入字典'!$C$2:$D$200,2,FALSE),"AI应用名称与ID不一致","可同步"))))))))</f>
        <v/>
      </c>
    </row>
    <row r="11">
      <c r="A11" s="5" t="inlineStr">
        <is>
          <t>CASE-0010</t>
        </is>
      </c>
      <c r="B11" s="5" t="inlineStr">
        <is>
          <t>S010</t>
        </is>
      </c>
      <c r="C11" s="5" t="inlineStr">
        <is>
          <t>检查交付质量</t>
        </is>
      </c>
      <c r="D11" s="5" t="inlineStr">
        <is>
          <t>提测节点中，AI 自动检查代码是否关联了需求、测试用例是否覆盖了验收标准，不符合的自动驳回并给出原因，让质量门禁真正生效。</t>
        </is>
      </c>
      <c r="E11" s="5" t="inlineStr">
        <is>
          <t>A017</t>
        </is>
      </c>
      <c r="F11" s="5" t="inlineStr">
        <is>
          <t>AI 质量检查</t>
        </is>
      </c>
      <c r="G11" s="5" t="inlineStr">
        <is>
          <t>互联网</t>
        </is>
      </c>
      <c r="H11" s="5" t="inlineStr">
        <is>
          <t>测试</t>
        </is>
      </c>
      <c r="I11" s="5" t="n"/>
      <c r="J11" s="5" t="inlineStr">
        <is>
          <t>用户筛选 CSV 序号 10；图片：https://aka.doubaocdn.com/s/CvvUzmrizE</t>
        </is>
      </c>
      <c r="K11" s="5">
        <f>IF(COUNTA(C11:D11,F11)=0,"",IF(B11="",IF(E11="",IF(F11="","待填AI应用","待建产品"),IF(COUNTIF('录入字典'!$C$2:$C$200,E11)=0,"AI应用ID无效",IF(F11="","补充AI应用名称",IF(F11&lt;&gt;VLOOKUP(E11,'录入字典'!$C$2:$D$200,2,FALSE),"AI应用名称与ID不一致","可同步")))),IF(COUNTIF('录入字典'!$A$2:$A$200,B11)=0,"场景ID无效",IF(C11&lt;&gt;VLOOKUP(B11,'录入字典'!$A$2:$B$200,2,FALSE),"场景名称与ID不一致",IF(E11="",IF(F11="","待填AI应用","待建产品"),IF(COUNTIF('录入字典'!$C$2:$C$200,E11)=0,"AI应用ID无效",IF(F11="","补充AI应用名称",IF(F11&lt;&gt;VLOOKUP(E11,'录入字典'!$C$2:$D$200,2,FALSE),"AI应用名称与ID不一致","可同步"))))))))</f>
        <v/>
      </c>
    </row>
    <row r="12">
      <c r="A12" s="5" t="inlineStr">
        <is>
          <t>CASE-0011</t>
        </is>
      </c>
      <c r="B12" s="5" t="inlineStr">
        <is>
          <t>S011</t>
        </is>
      </c>
      <c r="C12" s="5" t="inlineStr">
        <is>
          <t>检查需求合规</t>
        </is>
      </c>
      <c r="D12" s="5" t="inlineStr">
        <is>
          <t>需求提交审批前，AI 自动检查是否满足了合规要求：是否完成了风险评估、是否获得了法务审批、是否标注了数据安全等级。</t>
        </is>
      </c>
      <c r="E12" s="5" t="inlineStr">
        <is>
          <t>A018</t>
        </is>
      </c>
      <c r="F12" s="5" t="inlineStr">
        <is>
          <t>AI 合规审计</t>
        </is>
      </c>
      <c r="G12" s="5" t="inlineStr">
        <is>
          <t>金融</t>
        </is>
      </c>
      <c r="H12" s="5" t="inlineStr">
        <is>
          <t>高管</t>
        </is>
      </c>
      <c r="I12" s="5" t="n"/>
      <c r="J12" s="5" t="inlineStr">
        <is>
          <t>用户筛选 CSV 序号 11；图片：https://aka.doubaocdn.com/s/DJabXgkph8</t>
        </is>
      </c>
      <c r="K12" s="5">
        <f>IF(COUNTA(C12:D12,F12)=0,"",IF(B12="",IF(E12="",IF(F12="","待填AI应用","待建产品"),IF(COUNTIF('录入字典'!$C$2:$C$200,E12)=0,"AI应用ID无效",IF(F12="","补充AI应用名称",IF(F12&lt;&gt;VLOOKUP(E12,'录入字典'!$C$2:$D$200,2,FALSE),"AI应用名称与ID不一致","可同步")))),IF(COUNTIF('录入字典'!$A$2:$A$200,B12)=0,"场景ID无效",IF(C12&lt;&gt;VLOOKUP(B12,'录入字典'!$A$2:$B$200,2,FALSE),"场景名称与ID不一致",IF(E12="",IF(F12="","待填AI应用","待建产品"),IF(COUNTIF('录入字典'!$C$2:$C$200,E12)=0,"AI应用ID无效",IF(F12="","补充AI应用名称",IF(F12&lt;&gt;VLOOKUP(E12,'录入字典'!$C$2:$D$200,2,FALSE),"AI应用名称与ID不一致","可同步"))))))))</f>
        <v/>
      </c>
    </row>
    <row r="13">
      <c r="A13" s="5" t="inlineStr">
        <is>
          <t>CASE-0012</t>
        </is>
      </c>
      <c r="B13" s="5" t="inlineStr">
        <is>
          <t>S012</t>
        </is>
      </c>
      <c r="C13" s="5" t="inlineStr">
        <is>
          <t>检查代码提交</t>
        </is>
      </c>
      <c r="D13" s="5" t="inlineStr">
        <is>
          <t>代码提交时，AI 自动检查是否关联了工作项、是否通过了 Code Review、是否包含必要的测试，不合规的提交自动拦截并通知开发者。</t>
        </is>
      </c>
      <c r="E13" s="5" t="inlineStr">
        <is>
          <t>A019</t>
        </is>
      </c>
      <c r="F13" s="5" t="inlineStr">
        <is>
          <t>AI 代码审查</t>
        </is>
      </c>
      <c r="G13" s="5" t="inlineStr">
        <is>
          <t>汽车</t>
        </is>
      </c>
      <c r="H13" s="5" t="inlineStr">
        <is>
          <t>研发</t>
        </is>
      </c>
      <c r="I13" s="5" t="n"/>
      <c r="J13" s="5" t="inlineStr">
        <is>
          <t>用户筛选 CSV 序号 12；图片：https://aka.doubaocdn.com/s/a3S9pUgsCz</t>
        </is>
      </c>
      <c r="K13" s="5">
        <f>IF(COUNTA(C13:D13,F13)=0,"",IF(B13="",IF(E13="",IF(F13="","待填AI应用","待建产品"),IF(COUNTIF('录入字典'!$C$2:$C$200,E13)=0,"AI应用ID无效",IF(F13="","补充AI应用名称",IF(F13&lt;&gt;VLOOKUP(E13,'录入字典'!$C$2:$D$200,2,FALSE),"AI应用名称与ID不一致","可同步")))),IF(COUNTIF('录入字典'!$A$2:$A$200,B13)=0,"场景ID无效",IF(C13&lt;&gt;VLOOKUP(B13,'录入字典'!$A$2:$B$200,2,FALSE),"场景名称与ID不一致",IF(E13="",IF(F13="","待填AI应用","待建产品"),IF(COUNTIF('录入字典'!$C$2:$C$200,E13)=0,"AI应用ID无效",IF(F13="","补充AI应用名称",IF(F13&lt;&gt;VLOOKUP(E13,'录入字典'!$C$2:$D$200,2,FALSE),"AI应用名称与ID不一致","可同步"))))))))</f>
        <v/>
      </c>
    </row>
    <row r="14">
      <c r="A14" s="5" t="inlineStr">
        <is>
          <t>CASE-0013</t>
        </is>
      </c>
      <c r="B14" s="5" t="inlineStr">
        <is>
          <t>S019</t>
        </is>
      </c>
      <c r="C14" s="5" t="inlineStr">
        <is>
          <t>检查设计规范</t>
        </is>
      </c>
      <c r="D14" s="5" t="inlineStr">
        <is>
          <t>设计师提交设计稿后，AI 自动检查组件库一致性、间距规范、色彩规范等，不符合规范的自动标注并给出修改建议，让设计评审更高效。</t>
        </is>
      </c>
      <c r="E14" s="5" t="inlineStr">
        <is>
          <t>A020</t>
        </is>
      </c>
      <c r="F14" s="5" t="inlineStr">
        <is>
          <t>AI 设计审查</t>
        </is>
      </c>
      <c r="G14" s="5" t="inlineStr">
        <is>
          <t>消费电子</t>
        </is>
      </c>
      <c r="H14" s="5" t="inlineStr">
        <is>
          <t>设计</t>
        </is>
      </c>
      <c r="I14" s="5" t="n"/>
      <c r="J14" s="5" t="inlineStr">
        <is>
          <t>用户筛选 CSV 序号 13；图片：https://aka.doubaocdn.com/s/bv0qSfwVgG</t>
        </is>
      </c>
      <c r="K14" s="5">
        <f>IF(COUNTA(C14:D14,F14)=0,"",IF(B14="",IF(E14="",IF(F14="","待填AI应用","待建产品"),IF(COUNTIF('录入字典'!$C$2:$C$200,E14)=0,"AI应用ID无效",IF(F14="","补充AI应用名称",IF(F14&lt;&gt;VLOOKUP(E14,'录入字典'!$C$2:$D$200,2,FALSE),"AI应用名称与ID不一致","可同步")))),IF(COUNTIF('录入字典'!$A$2:$A$200,B14)=0,"场景ID无效",IF(C14&lt;&gt;VLOOKUP(B14,'录入字典'!$A$2:$B$200,2,FALSE),"场景名称与ID不一致",IF(E14="",IF(F14="","待填AI应用","待建产品"),IF(COUNTIF('录入字典'!$C$2:$C$200,E14)=0,"AI应用ID无效",IF(F14="","补充AI应用名称",IF(F14&lt;&gt;VLOOKUP(E14,'录入字典'!$C$2:$D$200,2,FALSE),"AI应用名称与ID不一致","可同步"))))))))</f>
        <v/>
      </c>
    </row>
    <row r="15">
      <c r="A15" s="5" t="inlineStr">
        <is>
          <t>CASE-0014</t>
        </is>
      </c>
      <c r="B15" s="5" t="inlineStr">
        <is>
          <t>S020</t>
        </is>
      </c>
      <c r="C15" s="5" t="inlineStr">
        <is>
          <t>评估变更影响</t>
        </is>
      </c>
      <c r="D15" s="5" t="inlineStr">
        <is>
          <t>当需求发生变更时，AI 自动分析影响的上下游模块、关联任务和依赖关系，输出影响范围评估报告，帮助 PM 和研发快速决策。</t>
        </is>
      </c>
      <c r="E15" s="5" t="inlineStr">
        <is>
          <t>A021</t>
        </is>
      </c>
      <c r="F15" s="5" t="inlineStr">
        <is>
          <t>AI 影响分析</t>
        </is>
      </c>
      <c r="G15" s="5" t="inlineStr">
        <is>
          <t>汽车</t>
        </is>
      </c>
      <c r="H15" s="5" t="inlineStr">
        <is>
          <t>产品经理</t>
        </is>
      </c>
      <c r="I15" s="5" t="n"/>
      <c r="J15" s="5" t="inlineStr">
        <is>
          <t>用户筛选 CSV 序号 16；图片：https://aka.doubaocdn.com/s/nvmVJKYDTY</t>
        </is>
      </c>
      <c r="K15" s="5">
        <f>IF(COUNTA(C15:D15,F15)=0,"",IF(B15="",IF(E15="",IF(F15="","待填AI应用","待建产品"),IF(COUNTIF('录入字典'!$C$2:$C$200,E15)=0,"AI应用ID无效",IF(F15="","补充AI应用名称",IF(F15&lt;&gt;VLOOKUP(E15,'录入字典'!$C$2:$D$200,2,FALSE),"AI应用名称与ID不一致","可同步")))),IF(COUNTIF('录入字典'!$A$2:$A$200,B15)=0,"场景ID无效",IF(C15&lt;&gt;VLOOKUP(B15,'录入字典'!$A$2:$B$200,2,FALSE),"场景名称与ID不一致",IF(E15="",IF(F15="","待填AI应用","待建产品"),IF(COUNTIF('录入字典'!$C$2:$C$200,E15)=0,"AI应用ID无效",IF(F15="","补充AI应用名称",IF(F15&lt;&gt;VLOOKUP(E15,'录入字典'!$C$2:$D$200,2,FALSE),"AI应用名称与ID不一致","可同步"))))))))</f>
        <v/>
      </c>
    </row>
    <row r="16">
      <c r="A16" s="5" t="inlineStr">
        <is>
          <t>CASE-0015</t>
        </is>
      </c>
      <c r="B16" s="5" t="inlineStr">
        <is>
          <t>S021</t>
        </is>
      </c>
      <c r="C16" s="5" t="inlineStr">
        <is>
          <t>预警供应链风险</t>
        </is>
      </c>
      <c r="D16" s="5" t="inlineStr">
        <is>
          <t>供应链关键节点出现异常时（如供应商延期、原材料涨价），AI 自动预警并评估对项目交付的影响，推荐替代方案，让管理者提前应对。</t>
        </is>
      </c>
      <c r="E16" s="5" t="inlineStr">
        <is>
          <t>A022</t>
        </is>
      </c>
      <c r="F16" s="5" t="inlineStr">
        <is>
          <t>AI 风险预警</t>
        </is>
      </c>
      <c r="G16" s="5" t="inlineStr">
        <is>
          <t>制造</t>
        </is>
      </c>
      <c r="H16" s="5" t="inlineStr">
        <is>
          <t>高管</t>
        </is>
      </c>
      <c r="I16" s="5" t="n"/>
      <c r="J16" s="5" t="inlineStr">
        <is>
          <t>用户筛选 CSV 序号 17；图片：https://aka.doubaocdn.com/s/Gkf92x6XVm</t>
        </is>
      </c>
      <c r="K16" s="5">
        <f>IF(COUNTA(C16:D16,F16)=0,"",IF(B16="",IF(E16="",IF(F16="","待填AI应用","待建产品"),IF(COUNTIF('录入字典'!$C$2:$C$200,E16)=0,"AI应用ID无效",IF(F16="","补充AI应用名称",IF(F16&lt;&gt;VLOOKUP(E16,'录入字典'!$C$2:$D$200,2,FALSE),"AI应用名称与ID不一致","可同步")))),IF(COUNTIF('录入字典'!$A$2:$A$200,B16)=0,"场景ID无效",IF(C16&lt;&gt;VLOOKUP(B16,'录入字典'!$A$2:$B$200,2,FALSE),"场景名称与ID不一致",IF(E16="",IF(F16="","待填AI应用","待建产品"),IF(COUNTIF('录入字典'!$C$2:$C$200,E16)=0,"AI应用ID无效",IF(F16="","补充AI应用名称",IF(F16&lt;&gt;VLOOKUP(E16,'录入字典'!$C$2:$D$200,2,FALSE),"AI应用名称与ID不一致","可同步"))))))))</f>
        <v/>
      </c>
    </row>
    <row r="17">
      <c r="A17" s="5" t="inlineStr">
        <is>
          <t>CASE-0016</t>
        </is>
      </c>
      <c r="B17" s="5" t="inlineStr">
        <is>
          <t>S022</t>
        </is>
      </c>
      <c r="C17" s="5" t="inlineStr">
        <is>
          <t>起草发布说明</t>
        </is>
      </c>
      <c r="D17" s="5" t="inlineStr">
        <is>
          <t>版本发布前，AI 根据本版本的需求、缺陷和变更记录自动生成 Release Notes，包含功能清单、修复列表和已知问题，研发只需微调即可发布。</t>
        </is>
      </c>
      <c r="E17" s="5" t="inlineStr">
        <is>
          <t>A023</t>
        </is>
      </c>
      <c r="F17" s="5" t="inlineStr">
        <is>
          <t>AI 发布说明</t>
        </is>
      </c>
      <c r="G17" s="5" t="inlineStr">
        <is>
          <t>消费电子</t>
        </is>
      </c>
      <c r="H17" s="5" t="inlineStr">
        <is>
          <t>研发</t>
        </is>
      </c>
      <c r="I17" s="5" t="n"/>
      <c r="J17" s="5" t="inlineStr">
        <is>
          <t>用户筛选 CSV 序号 20；图片：https://aka.doubaocdn.com/s/bv0qSfwVgG</t>
        </is>
      </c>
      <c r="K17" s="5">
        <f>IF(COUNTA(C17:D17,F17)=0,"",IF(B17="",IF(E17="",IF(F17="","待填AI应用","待建产品"),IF(COUNTIF('录入字典'!$C$2:$C$200,E17)=0,"AI应用ID无效",IF(F17="","补充AI应用名称",IF(F17&lt;&gt;VLOOKUP(E17,'录入字典'!$C$2:$D$200,2,FALSE),"AI应用名称与ID不一致","可同步")))),IF(COUNTIF('录入字典'!$A$2:$A$200,B17)=0,"场景ID无效",IF(C17&lt;&gt;VLOOKUP(B17,'录入字典'!$A$2:$B$200,2,FALSE),"场景名称与ID不一致",IF(E17="",IF(F17="","待填AI应用","待建产品"),IF(COUNTIF('录入字典'!$C$2:$C$200,E17)=0,"AI应用ID无效",IF(F17="","补充AI应用名称",IF(F17&lt;&gt;VLOOKUP(E17,'录入字典'!$C$2:$D$200,2,FALSE),"AI应用名称与ID不一致","可同步"))))))))</f>
        <v/>
      </c>
    </row>
    <row r="18">
      <c r="A18" s="5" t="inlineStr">
        <is>
          <t>CASE-0017</t>
        </is>
      </c>
      <c r="B18" s="5" t="inlineStr">
        <is>
          <t>S023</t>
        </is>
      </c>
      <c r="C18" s="5" t="inlineStr">
        <is>
          <t>拆解项目计划</t>
        </is>
      </c>
      <c r="D18" s="5" t="inlineStr">
        <is>
          <t>立项后，AI 根据历史项目数据和行业模板，自动拆解出任务清单、推荐排期和关键里程碑，项目经理只需微调即可启动，让项目规划从经验驱动变为数据驱动。</t>
        </is>
      </c>
      <c r="E18" s="5" t="inlineStr">
        <is>
          <t>A024</t>
        </is>
      </c>
      <c r="F18" s="5" t="inlineStr">
        <is>
          <t>AI 项目规划</t>
        </is>
      </c>
      <c r="G18" s="5" t="inlineStr">
        <is>
          <t>互联网</t>
        </is>
      </c>
      <c r="H18" s="5" t="inlineStr">
        <is>
          <t>项目经理</t>
        </is>
      </c>
      <c r="I18" s="5" t="n"/>
      <c r="J18" s="5" t="inlineStr">
        <is>
          <t>用户筛选 CSV 序号 23；图片：https://aka.doubaocdn.com/s/nvmVJKYDTY</t>
        </is>
      </c>
      <c r="K18" s="5">
        <f>IF(COUNTA(C18:D18,F18)=0,"",IF(B18="",IF(E18="",IF(F18="","待填AI应用","待建产品"),IF(COUNTIF('录入字典'!$C$2:$C$200,E18)=0,"AI应用ID无效",IF(F18="","补充AI应用名称",IF(F18&lt;&gt;VLOOKUP(E18,'录入字典'!$C$2:$D$200,2,FALSE),"AI应用名称与ID不一致","可同步")))),IF(COUNTIF('录入字典'!$A$2:$A$200,B18)=0,"场景ID无效",IF(C18&lt;&gt;VLOOKUP(B18,'录入字典'!$A$2:$B$200,2,FALSE),"场景名称与ID不一致",IF(E18="",IF(F18="","待填AI应用","待建产品"),IF(COUNTIF('录入字典'!$C$2:$C$200,E18)=0,"AI应用ID无效",IF(F18="","补充AI应用名称",IF(F18&lt;&gt;VLOOKUP(E18,'录入字典'!$C$2:$D$200,2,FALSE),"AI应用名称与ID不一致","可同步"))))))))</f>
        <v/>
      </c>
    </row>
    <row r="19">
      <c r="A19" s="5" t="inlineStr">
        <is>
          <t>CASE-0018</t>
        </is>
      </c>
      <c r="B19" s="5" t="inlineStr">
        <is>
          <t>S024</t>
        </is>
      </c>
      <c r="C19" s="5" t="inlineStr">
        <is>
          <t>生成测试用例</t>
        </is>
      </c>
      <c r="D19" s="5" t="inlineStr">
        <is>
          <t>需求进入测试阶段时，AI 根据需求描述和验收标准自动生成测试用例，覆盖边界条件和异常场景，测试工程师只需补充特殊场景即可开始执行。</t>
        </is>
      </c>
      <c r="E19" s="5" t="inlineStr">
        <is>
          <t>A009</t>
        </is>
      </c>
      <c r="F19" s="5" t="inlineStr">
        <is>
          <t>AI 测试生成</t>
        </is>
      </c>
      <c r="G19" s="5" t="inlineStr">
        <is>
          <t>互联网</t>
        </is>
      </c>
      <c r="H19" s="5" t="inlineStr">
        <is>
          <t>测试</t>
        </is>
      </c>
      <c r="I19" s="5" t="n"/>
      <c r="J19" s="5" t="inlineStr">
        <is>
          <t>用户筛选 CSV 序号 28；图片：https://aka.doubaocdn.com/s/CvvUzmrizE</t>
        </is>
      </c>
      <c r="K19" s="5">
        <f>IF(COUNTA(C19:D19,F19)=0,"",IF(B19="",IF(E19="",IF(F19="","待填AI应用","待建产品"),IF(COUNTIF('录入字典'!$C$2:$C$200,E19)=0,"AI应用ID无效",IF(F19="","补充AI应用名称",IF(F19&lt;&gt;VLOOKUP(E19,'录入字典'!$C$2:$D$200,2,FALSE),"AI应用名称与ID不一致","可同步")))),IF(COUNTIF('录入字典'!$A$2:$A$200,B19)=0,"场景ID无效",IF(C19&lt;&gt;VLOOKUP(B19,'录入字典'!$A$2:$B$200,2,FALSE),"场景名称与ID不一致",IF(E19="",IF(F19="","待填AI应用","待建产品"),IF(COUNTIF('录入字典'!$C$2:$C$200,E19)=0,"AI应用ID无效",IF(F19="","补充AI应用名称",IF(F19&lt;&gt;VLOOKUP(E19,'录入字典'!$C$2:$D$200,2,FALSE),"AI应用名称与ID不一致","可同步"))))))))</f>
        <v/>
      </c>
    </row>
    <row r="20">
      <c r="A20" s="5" t="inlineStr">
        <is>
          <t>CASE-0019</t>
        </is>
      </c>
      <c r="B20" s="5" t="inlineStr">
        <is>
          <t>S025</t>
        </is>
      </c>
      <c r="C20" s="5" t="inlineStr">
        <is>
          <t>响应系统故障</t>
        </is>
      </c>
      <c r="D20" s="5" t="inlineStr">
        <is>
          <t>线上系统出现异常时，AI 自动检测告警、分析根因、创建事故单并通知值班人员，缩短故障发现到响应的时间，让 MTTR 大幅降低。</t>
        </is>
      </c>
      <c r="E20" s="5" t="inlineStr">
        <is>
          <t>A025</t>
        </is>
      </c>
      <c r="F20" s="5" t="inlineStr">
        <is>
          <t>AI 智能运维</t>
        </is>
      </c>
      <c r="G20" s="5" t="inlineStr">
        <is>
          <t>汽车</t>
        </is>
      </c>
      <c r="H20" s="5" t="inlineStr">
        <is>
          <t>研发</t>
        </is>
      </c>
      <c r="I20" s="5" t="n"/>
      <c r="J20" s="5" t="inlineStr">
        <is>
          <t>用户筛选 CSV 序号 30；图片：https://aka.doubaocdn.com/s/RHeb6ZPb6p</t>
        </is>
      </c>
      <c r="K20" s="5">
        <f>IF(COUNTA(C20:D20,F20)=0,"",IF(B20="",IF(E20="",IF(F20="","待填AI应用","待建产品"),IF(COUNTIF('录入字典'!$C$2:$C$200,E20)=0,"AI应用ID无效",IF(F20="","补充AI应用名称",IF(F20&lt;&gt;VLOOKUP(E20,'录入字典'!$C$2:$D$200,2,FALSE),"AI应用名称与ID不一致","可同步")))),IF(COUNTIF('录入字典'!$A$2:$A$200,B20)=0,"场景ID无效",IF(C20&lt;&gt;VLOOKUP(B20,'录入字典'!$A$2:$B$200,2,FALSE),"场景名称与ID不一致",IF(E20="",IF(F20="","待填AI应用","待建产品"),IF(COUNTIF('录入字典'!$C$2:$C$200,E20)=0,"AI应用ID无效",IF(F20="","补充AI应用名称",IF(F20&lt;&gt;VLOOKUP(E20,'录入字典'!$C$2:$D$200,2,FALSE),"AI应用名称与ID不一致","可同步"))))))))</f>
        <v/>
      </c>
    </row>
    <row r="21">
      <c r="A21" s="5" t="inlineStr">
        <is>
          <t>CASE-0020</t>
        </is>
      </c>
      <c r="B21" s="5" t="inlineStr">
        <is>
          <t>S026</t>
        </is>
      </c>
      <c r="C21" s="5" t="inlineStr">
        <is>
          <t>补全需求描述</t>
        </is>
      </c>
      <c r="D21" s="5" t="inlineStr">
        <is>
          <t>新建需求时，AI 根据标题自动补全背景描述、验收标准等字段，减少重复录入，提升需求质量。</t>
        </is>
      </c>
      <c r="E21" s="5" t="inlineStr">
        <is>
          <t>A008</t>
        </is>
      </c>
      <c r="F21" s="5" t="inlineStr">
        <is>
          <t>AI 智能填单</t>
        </is>
      </c>
      <c r="G21" s="5" t="inlineStr">
        <is>
          <t>互联网</t>
        </is>
      </c>
      <c r="H21" s="5" t="inlineStr">
        <is>
          <t>产品经理</t>
        </is>
      </c>
      <c r="I21" s="5" t="n"/>
      <c r="J21" s="5" t="inlineStr">
        <is>
          <t>用户筛选 CSV 序号 82；图片：https://aka.doubaocdn.com/s/IMKcg667UN</t>
        </is>
      </c>
      <c r="K21" s="5">
        <f>IF(COUNTA(C21:D21,F21)=0,"",IF(B21="",IF(E21="",IF(F21="","待填AI应用","待建产品"),IF(COUNTIF('录入字典'!$C$2:$C$200,E21)=0,"AI应用ID无效",IF(F21="","补充AI应用名称",IF(F21&lt;&gt;VLOOKUP(E21,'录入字典'!$C$2:$D$200,2,FALSE),"AI应用名称与ID不一致","可同步")))),IF(COUNTIF('录入字典'!$A$2:$A$200,B21)=0,"场景ID无效",IF(C21&lt;&gt;VLOOKUP(B21,'录入字典'!$A$2:$B$200,2,FALSE),"场景名称与ID不一致",IF(E21="",IF(F21="","待填AI应用","待建产品"),IF(COUNTIF('录入字典'!$C$2:$C$200,E21)=0,"AI应用ID无效",IF(F21="","补充AI应用名称",IF(F21&lt;&gt;VLOOKUP(E21,'录入字典'!$C$2:$D$200,2,FALSE),"AI应用名称与ID不一致","可同步"))))))))</f>
        <v/>
      </c>
    </row>
    <row r="22">
      <c r="A22" s="5" t="inlineStr">
        <is>
          <t>CASE-0021</t>
        </is>
      </c>
      <c r="B22" s="5" t="inlineStr">
        <is>
          <t>S027</t>
        </is>
      </c>
      <c r="C22" s="5" t="inlineStr">
        <is>
          <t>生成缺陷报告</t>
        </is>
      </c>
      <c r="D22" s="5" t="inlineStr">
        <is>
          <t>测试发现问题后，AI 根据截图和简要描述自动生成完整的缺陷报告，包含复现步骤、预期结果和严重度评估。</t>
        </is>
      </c>
      <c r="E22" s="5" t="inlineStr">
        <is>
          <t>A026</t>
        </is>
      </c>
      <c r="F22" s="5" t="inlineStr">
        <is>
          <t>AI 缺陷报告</t>
        </is>
      </c>
      <c r="G22" s="5" t="inlineStr">
        <is>
          <t>互联网</t>
        </is>
      </c>
      <c r="H22" s="5" t="inlineStr">
        <is>
          <t>测试</t>
        </is>
      </c>
      <c r="I22" s="5" t="n"/>
      <c r="J22" s="5" t="inlineStr">
        <is>
          <t>用户筛选 CSV 序号 83；图片：https://aka.doubaocdn.com/s/CvvUzmrizE</t>
        </is>
      </c>
      <c r="K22" s="5">
        <f>IF(COUNTA(C22:D22,F22)=0,"",IF(B22="",IF(E22="",IF(F22="","待填AI应用","待建产品"),IF(COUNTIF('录入字典'!$C$2:$C$200,E22)=0,"AI应用ID无效",IF(F22="","补充AI应用名称",IF(F22&lt;&gt;VLOOKUP(E22,'录入字典'!$C$2:$D$200,2,FALSE),"AI应用名称与ID不一致","可同步")))),IF(COUNTIF('录入字典'!$A$2:$A$200,B22)=0,"场景ID无效",IF(C22&lt;&gt;VLOOKUP(B22,'录入字典'!$A$2:$B$200,2,FALSE),"场景名称与ID不一致",IF(E22="",IF(F22="","待填AI应用","待建产品"),IF(COUNTIF('录入字典'!$C$2:$C$200,E22)=0,"AI应用ID无效",IF(F22="","补充AI应用名称",IF(F22&lt;&gt;VLOOKUP(E22,'录入字典'!$C$2:$D$200,2,FALSE),"AI应用名称与ID不一致","可同步"))))))))</f>
        <v/>
      </c>
    </row>
    <row r="23">
      <c r="A23" s="5" t="inlineStr">
        <is>
          <t>CASE-0022</t>
        </is>
      </c>
      <c r="B23" s="5" t="inlineStr">
        <is>
          <t>S028</t>
        </is>
      </c>
      <c r="C23" s="5" t="inlineStr">
        <is>
          <t>补全企业信息</t>
        </is>
      </c>
      <c r="D23" s="5" t="inlineStr">
        <is>
          <t>录入客户/线索时，AI 自动查询并补全企业名称、信用代码、地址等工商信息，减少手动录入。</t>
        </is>
      </c>
      <c r="E23" s="5" t="inlineStr">
        <is>
          <t>A027</t>
        </is>
      </c>
      <c r="F23" s="5" t="inlineStr">
        <is>
          <t>AI 信息补全</t>
        </is>
      </c>
      <c r="G23" s="5" t="inlineStr">
        <is>
          <t>金融</t>
        </is>
      </c>
      <c r="H23" s="5" t="inlineStr">
        <is>
          <t>销售</t>
        </is>
      </c>
      <c r="I23" s="5" t="n"/>
      <c r="J23" s="5" t="inlineStr">
        <is>
          <t>用户筛选 CSV 序号 84；图片：https://aka.doubaocdn.com/s/TYVL9Q4ue4</t>
        </is>
      </c>
      <c r="K23" s="5">
        <f>IF(COUNTA(C23:D23,F23)=0,"",IF(B23="",IF(E23="",IF(F23="","待填AI应用","待建产品"),IF(COUNTIF('录入字典'!$C$2:$C$200,E23)=0,"AI应用ID无效",IF(F23="","补充AI应用名称",IF(F23&lt;&gt;VLOOKUP(E23,'录入字典'!$C$2:$D$200,2,FALSE),"AI应用名称与ID不一致","可同步")))),IF(COUNTIF('录入字典'!$A$2:$A$200,B23)=0,"场景ID无效",IF(C23&lt;&gt;VLOOKUP(B23,'录入字典'!$A$2:$B$200,2,FALSE),"场景名称与ID不一致",IF(E23="",IF(F23="","待填AI应用","待建产品"),IF(COUNTIF('录入字典'!$C$2:$C$200,E23)=0,"AI应用ID无效",IF(F23="","补充AI应用名称",IF(F23&lt;&gt;VLOOKUP(E23,'录入字典'!$C$2:$D$200,2,FALSE),"AI应用名称与ID不一致","可同步"))))))))</f>
        <v/>
      </c>
    </row>
    <row r="24">
      <c r="A24" s="5" t="inlineStr">
        <is>
          <t>CASE-0023</t>
        </is>
      </c>
      <c r="B24" s="5" t="inlineStr">
        <is>
          <t>S029</t>
        </is>
      </c>
      <c r="C24" s="5" t="inlineStr">
        <is>
          <t>审查金融合规</t>
        </is>
      </c>
      <c r="D24" s="5" t="inlineStr">
        <is>
          <t>金融项目关键节点，AI 自动检查是否满足监管合规要求：风险评估完成、法务审批通过、数据安全等级标注。</t>
        </is>
      </c>
      <c r="E24" s="5" t="inlineStr">
        <is>
          <t>A018</t>
        </is>
      </c>
      <c r="F24" s="5" t="inlineStr">
        <is>
          <t>AI 合规审计</t>
        </is>
      </c>
      <c r="G24" s="5" t="inlineStr">
        <is>
          <t>金融</t>
        </is>
      </c>
      <c r="H24" s="5" t="inlineStr">
        <is>
          <t>高管</t>
        </is>
      </c>
      <c r="I24" s="5" t="n"/>
      <c r="J24" s="5" t="inlineStr">
        <is>
          <t>用户筛选 CSV 序号 89；图片：https://aka.doubaocdn.com/s/DJabXgkph8</t>
        </is>
      </c>
      <c r="K24" s="5">
        <f>IF(COUNTA(C24:D24,F24)=0,"",IF(B24="",IF(E24="",IF(F24="","待填AI应用","待建产品"),IF(COUNTIF('录入字典'!$C$2:$C$200,E24)=0,"AI应用ID无效",IF(F24="","补充AI应用名称",IF(F24&lt;&gt;VLOOKUP(E24,'录入字典'!$C$2:$D$200,2,FALSE),"AI应用名称与ID不一致","可同步")))),IF(COUNTIF('录入字典'!$A$2:$A$200,B24)=0,"场景ID无效",IF(C24&lt;&gt;VLOOKUP(B24,'录入字典'!$A$2:$B$200,2,FALSE),"场景名称与ID不一致",IF(E24="",IF(F24="","待填AI应用","待建产品"),IF(COUNTIF('录入字典'!$C$2:$C$200,E24)=0,"AI应用ID无效",IF(F24="","补充AI应用名称",IF(F24&lt;&gt;VLOOKUP(E24,'录入字典'!$C$2:$D$200,2,FALSE),"AI应用名称与ID不一致","可同步"))))))))</f>
        <v/>
      </c>
    </row>
    <row r="25">
      <c r="A25" s="5" t="inlineStr">
        <is>
          <t>CASE-0024</t>
        </is>
      </c>
      <c r="B25" s="5" t="inlineStr">
        <is>
          <t>S030</t>
        </is>
      </c>
      <c r="C25" s="5" t="inlineStr">
        <is>
          <t>评估投资风险</t>
        </is>
      </c>
      <c r="D25" s="5" t="inlineStr">
        <is>
          <t>投资项目立项前，AI 自动评估风险等级，分析市场环境、政策变化和财务指标，输出风险评估报告。</t>
        </is>
      </c>
      <c r="E25" s="5" t="inlineStr">
        <is>
          <t>A028</t>
        </is>
      </c>
      <c r="F25" s="5" t="inlineStr">
        <is>
          <t>AI 风险分析</t>
        </is>
      </c>
      <c r="G25" s="5" t="inlineStr">
        <is>
          <t>金融</t>
        </is>
      </c>
      <c r="H25" s="5" t="inlineStr">
        <is>
          <t>高管</t>
        </is>
      </c>
      <c r="I25" s="5" t="n"/>
      <c r="J25" s="5" t="inlineStr">
        <is>
          <t>用户筛选 CSV 序号 90；图片：https://aka.doubaocdn.com/s/DJabXgkph8</t>
        </is>
      </c>
      <c r="K25" s="5">
        <f>IF(COUNTA(C25:D25,F25)=0,"",IF(B25="",IF(E25="",IF(F25="","待填AI应用","待建产品"),IF(COUNTIF('录入字典'!$C$2:$C$200,E25)=0,"AI应用ID无效",IF(F25="","补充AI应用名称",IF(F25&lt;&gt;VLOOKUP(E25,'录入字典'!$C$2:$D$200,2,FALSE),"AI应用名称与ID不一致","可同步")))),IF(COUNTIF('录入字典'!$A$2:$A$200,B25)=0,"场景ID无效",IF(C25&lt;&gt;VLOOKUP(B25,'录入字典'!$A$2:$B$200,2,FALSE),"场景名称与ID不一致",IF(E25="",IF(F25="","待填AI应用","待建产品"),IF(COUNTIF('录入字典'!$C$2:$C$200,E25)=0,"AI应用ID无效",IF(F25="","补充AI应用名称",IF(F25&lt;&gt;VLOOKUP(E25,'录入字典'!$C$2:$D$200,2,FALSE),"AI应用名称与ID不一致","可同步"))))))))</f>
        <v/>
      </c>
    </row>
    <row r="26">
      <c r="A26" s="5" t="inlineStr">
        <is>
          <t>CASE-0025</t>
        </is>
      </c>
      <c r="B26" s="5" t="inlineStr">
        <is>
          <t>S031</t>
        </is>
      </c>
      <c r="C26" s="5" t="inlineStr">
        <is>
          <t>评估销售线索</t>
        </is>
      </c>
      <c r="D26" s="5" t="inlineStr">
        <is>
          <t>销售线索进入系统后，AI 根据企业规模、行业、行为数据自动评分，帮销售优先跟进高价值线索。</t>
        </is>
      </c>
      <c r="E26" s="5" t="inlineStr">
        <is>
          <t>A029</t>
        </is>
      </c>
      <c r="F26" s="5" t="inlineStr">
        <is>
          <t>AI 线索评分</t>
        </is>
      </c>
      <c r="G26" s="5" t="inlineStr">
        <is>
          <t>金融</t>
        </is>
      </c>
      <c r="H26" s="5" t="inlineStr">
        <is>
          <t>销售</t>
        </is>
      </c>
      <c r="I26" s="5" t="n"/>
      <c r="J26" s="5" t="inlineStr">
        <is>
          <t>用户筛选 CSV 序号 93；图片：https://aka.doubaocdn.com/s/Bx4o2nVU1J</t>
        </is>
      </c>
      <c r="K26" s="5">
        <f>IF(COUNTA(C26:D26,F26)=0,"",IF(B26="",IF(E26="",IF(F26="","待填AI应用","待建产品"),IF(COUNTIF('录入字典'!$C$2:$C$200,E26)=0,"AI应用ID无效",IF(F26="","补充AI应用名称",IF(F26&lt;&gt;VLOOKUP(E26,'录入字典'!$C$2:$D$200,2,FALSE),"AI应用名称与ID不一致","可同步")))),IF(COUNTIF('录入字典'!$A$2:$A$200,B26)=0,"场景ID无效",IF(C26&lt;&gt;VLOOKUP(B26,'录入字典'!$A$2:$B$200,2,FALSE),"场景名称与ID不一致",IF(E26="",IF(F26="","待填AI应用","待建产品"),IF(COUNTIF('录入字典'!$C$2:$C$200,E26)=0,"AI应用ID无效",IF(F26="","补充AI应用名称",IF(F26&lt;&gt;VLOOKUP(E26,'录入字典'!$C$2:$D$200,2,FALSE),"AI应用名称与ID不一致","可同步"))))))))</f>
        <v/>
      </c>
    </row>
    <row r="27">
      <c r="A27" s="5" t="inlineStr">
        <is>
          <t>CASE-0026</t>
        </is>
      </c>
      <c r="B27" s="5" t="inlineStr">
        <is>
          <t>S032</t>
        </is>
      </c>
      <c r="C27" s="5" t="inlineStr">
        <is>
          <t>预警项目延期</t>
        </is>
      </c>
      <c r="D27" s="5" t="inlineStr">
        <is>
          <t>AI 实时监控项目进度，当关键节点临近截止日期但未完成时，自动预警并通知相关责任人。</t>
        </is>
      </c>
      <c r="E27" s="5" t="inlineStr">
        <is>
          <t>A022</t>
        </is>
      </c>
      <c r="F27" s="5" t="inlineStr">
        <is>
          <t>AI 风险预警</t>
        </is>
      </c>
      <c r="G27" s="5" t="inlineStr">
        <is>
          <t>制造</t>
        </is>
      </c>
      <c r="H27" s="5" t="inlineStr">
        <is>
          <t>项目经理</t>
        </is>
      </c>
      <c r="I27" s="5" t="n"/>
      <c r="J27" s="5" t="inlineStr">
        <is>
          <t>用户筛选 CSV 序号 101；图片：https://aka.doubaocdn.com/s/Gkf92x6XVm</t>
        </is>
      </c>
      <c r="K27" s="5">
        <f>IF(COUNTA(C27:D27,F27)=0,"",IF(B27="",IF(E27="",IF(F27="","待填AI应用","待建产品"),IF(COUNTIF('录入字典'!$C$2:$C$200,E27)=0,"AI应用ID无效",IF(F27="","补充AI应用名称",IF(F27&lt;&gt;VLOOKUP(E27,'录入字典'!$C$2:$D$200,2,FALSE),"AI应用名称与ID不一致","可同步")))),IF(COUNTIF('录入字典'!$A$2:$A$200,B27)=0,"场景ID无效",IF(C27&lt;&gt;VLOOKUP(B27,'录入字典'!$A$2:$B$200,2,FALSE),"场景名称与ID不一致",IF(E27="",IF(F27="","待填AI应用","待建产品"),IF(COUNTIF('录入字典'!$C$2:$C$200,E27)=0,"AI应用ID无效",IF(F27="","补充AI应用名称",IF(F27&lt;&gt;VLOOKUP(E27,'录入字典'!$C$2:$D$200,2,FALSE),"AI应用名称与ID不一致","可同步"))))))))</f>
        <v/>
      </c>
    </row>
    <row r="28">
      <c r="A28" s="5" t="inlineStr">
        <is>
          <t>CASE-0027</t>
        </is>
      </c>
      <c r="B28" s="5" t="inlineStr">
        <is>
          <t>S033</t>
        </is>
      </c>
      <c r="C28" s="5" t="inlineStr">
        <is>
          <t>预警预算超支</t>
        </is>
      </c>
      <c r="D28" s="5" t="inlineStr">
        <is>
          <t>AI 实时监控项目预算使用情况，当实际支出接近或超出预算时自动预警，推荐成本优化方案。</t>
        </is>
      </c>
      <c r="E28" s="5" t="inlineStr">
        <is>
          <t>A030</t>
        </is>
      </c>
      <c r="F28" s="5" t="inlineStr">
        <is>
          <t>AI 成本预警</t>
        </is>
      </c>
      <c r="G28" s="5" t="inlineStr">
        <is>
          <t>制造</t>
        </is>
      </c>
      <c r="H28" s="5" t="inlineStr">
        <is>
          <t>高管</t>
        </is>
      </c>
      <c r="I28" s="5" t="n"/>
      <c r="J28" s="5" t="inlineStr">
        <is>
          <t>用户筛选 CSV 序号 102；图片：https://aka.doubaocdn.com/s/Gkf92x6XVm</t>
        </is>
      </c>
      <c r="K28" s="5">
        <f>IF(COUNTA(C28:D28,F28)=0,"",IF(B28="",IF(E28="",IF(F28="","待填AI应用","待建产品"),IF(COUNTIF('录入字典'!$C$2:$C$200,E28)=0,"AI应用ID无效",IF(F28="","补充AI应用名称",IF(F28&lt;&gt;VLOOKUP(E28,'录入字典'!$C$2:$D$200,2,FALSE),"AI应用名称与ID不一致","可同步")))),IF(COUNTIF('录入字典'!$A$2:$A$200,B28)=0,"场景ID无效",IF(C28&lt;&gt;VLOOKUP(B28,'录入字典'!$A$2:$B$200,2,FALSE),"场景名称与ID不一致",IF(E28="",IF(F28="","待填AI应用","待建产品"),IF(COUNTIF('录入字典'!$C$2:$C$200,E28)=0,"AI应用ID无效",IF(F28="","补充AI应用名称",IF(F28&lt;&gt;VLOOKUP(E28,'录入字典'!$C$2:$D$200,2,FALSE),"AI应用名称与ID不一致","可同步"))))))))</f>
        <v/>
      </c>
    </row>
    <row r="29">
      <c r="A29" s="5" t="inlineStr">
        <is>
          <t>CASE-0028</t>
        </is>
      </c>
      <c r="B29" s="5" t="inlineStr">
        <is>
          <t>S034</t>
        </is>
      </c>
      <c r="C29" s="5" t="inlineStr">
        <is>
          <t>预警客户流失</t>
        </is>
      </c>
      <c r="D29" s="5" t="inlineStr">
        <is>
          <t>AI 分析客户活跃度、使用频率和反馈数据，识别有流失风险的客户并自动预警，建议挽留策略。</t>
        </is>
      </c>
      <c r="E29" s="5" t="inlineStr">
        <is>
          <t>A031</t>
        </is>
      </c>
      <c r="F29" s="5" t="inlineStr">
        <is>
          <t>AI 流失预警</t>
        </is>
      </c>
      <c r="G29" s="5" t="inlineStr">
        <is>
          <t>金融</t>
        </is>
      </c>
      <c r="H29" s="5" t="inlineStr">
        <is>
          <t>销售</t>
        </is>
      </c>
      <c r="I29" s="5" t="n"/>
      <c r="J29" s="5" t="inlineStr">
        <is>
          <t>用户筛选 CSV 序号 104；图片：https://aka.doubaocdn.com/s/TYVL9Q4ue4</t>
        </is>
      </c>
      <c r="K29" s="5">
        <f>IF(COUNTA(C29:D29,F29)=0,"",IF(B29="",IF(E29="",IF(F29="","待填AI应用","待建产品"),IF(COUNTIF('录入字典'!$C$2:$C$200,E29)=0,"AI应用ID无效",IF(F29="","补充AI应用名称",IF(F29&lt;&gt;VLOOKUP(E29,'录入字典'!$C$2:$D$200,2,FALSE),"AI应用名称与ID不一致","可同步")))),IF(COUNTIF('录入字典'!$A$2:$A$200,B29)=0,"场景ID无效",IF(C29&lt;&gt;VLOOKUP(B29,'录入字典'!$A$2:$B$200,2,FALSE),"场景名称与ID不一致",IF(E29="",IF(F29="","待填AI应用","待建产品"),IF(COUNTIF('录入字典'!$C$2:$C$200,E29)=0,"AI应用ID无效",IF(F29="","补充AI应用名称",IF(F29&lt;&gt;VLOOKUP(E29,'录入字典'!$C$2:$D$200,2,FALSE),"AI应用名称与ID不一致","可同步"))))))))</f>
        <v/>
      </c>
    </row>
    <row r="30">
      <c r="A30" s="5" t="inlineStr">
        <is>
          <t>CASE-0029</t>
        </is>
      </c>
      <c r="B30" s="5" t="inlineStr">
        <is>
          <t>S035</t>
        </is>
      </c>
      <c r="C30" s="5" t="inlineStr">
        <is>
          <t>检查申报材料</t>
        </is>
      </c>
      <c r="D30" s="5" t="inlineStr">
        <is>
          <t>科研项目申报时，AI 自动检查申报材料的完整性和合规性，标注缺失项和格式问题，减少人工审核时间。</t>
        </is>
      </c>
      <c r="E30" s="5" t="inlineStr">
        <is>
          <t>A018</t>
        </is>
      </c>
      <c r="F30" s="5" t="inlineStr">
        <is>
          <t>AI 合规审计</t>
        </is>
      </c>
      <c r="G30" s="5" t="inlineStr">
        <is>
          <t>教育</t>
        </is>
      </c>
      <c r="H30" s="5" t="inlineStr">
        <is>
          <t>运营</t>
        </is>
      </c>
      <c r="I30" s="5" t="n"/>
      <c r="J30" s="5" t="inlineStr">
        <is>
          <t>用户筛选 CSV 序号 109；图片：https://aka.doubaocdn.com/s/hYfl2K2xZW</t>
        </is>
      </c>
      <c r="K30" s="5">
        <f>IF(COUNTA(C30:D30,F30)=0,"",IF(B30="",IF(E30="",IF(F30="","待填AI应用","待建产品"),IF(COUNTIF('录入字典'!$C$2:$C$200,E30)=0,"AI应用ID无效",IF(F30="","补充AI应用名称",IF(F30&lt;&gt;VLOOKUP(E30,'录入字典'!$C$2:$D$200,2,FALSE),"AI应用名称与ID不一致","可同步")))),IF(COUNTIF('录入字典'!$A$2:$A$200,B30)=0,"场景ID无效",IF(C30&lt;&gt;VLOOKUP(B30,'录入字典'!$A$2:$B$200,2,FALSE),"场景名称与ID不一致",IF(E30="",IF(F30="","待填AI应用","待建产品"),IF(COUNTIF('录入字典'!$C$2:$C$200,E30)=0,"AI应用ID无效",IF(F30="","补充AI应用名称",IF(F30&lt;&gt;VLOOKUP(E30,'录入字典'!$C$2:$D$200,2,FALSE),"AI应用名称与ID不一致","可同步"))))))))</f>
        <v/>
      </c>
    </row>
    <row r="31">
      <c r="A31" s="5" t="inlineStr">
        <is>
          <t>CASE-0030</t>
        </is>
      </c>
      <c r="B31" s="5" t="inlineStr">
        <is>
          <t>S036</t>
        </is>
      </c>
      <c r="C31" s="5" t="inlineStr">
        <is>
          <t>评估门店选址</t>
        </is>
      </c>
      <c r="D31" s="5" t="inlineStr">
        <is>
          <t>门店筹建时，AI 综合分析商圈数据、人流量、竞品分布和租金水平，输出选址评估报告和推荐方案。</t>
        </is>
      </c>
      <c r="E31" s="5" t="inlineStr">
        <is>
          <t>A032</t>
        </is>
      </c>
      <c r="F31" s="5" t="inlineStr">
        <is>
          <t>AI 选址评估</t>
        </is>
      </c>
      <c r="G31" s="5" t="inlineStr">
        <is>
          <t>零售</t>
        </is>
      </c>
      <c r="H31" s="5" t="inlineStr">
        <is>
          <t>运营</t>
        </is>
      </c>
      <c r="I31" s="5" t="n"/>
      <c r="J31" s="5" t="inlineStr">
        <is>
          <t>用户筛选 CSV 序号 110；图片：https://aka.doubaocdn.com/s/Bx4o2nVU1J</t>
        </is>
      </c>
      <c r="K31" s="5">
        <f>IF(COUNTA(C31:D31,F31)=0,"",IF(B31="",IF(E31="",IF(F31="","待填AI应用","待建产品"),IF(COUNTIF('录入字典'!$C$2:$C$200,E31)=0,"AI应用ID无效",IF(F31="","补充AI应用名称",IF(F31&lt;&gt;VLOOKUP(E31,'录入字典'!$C$2:$D$200,2,FALSE),"AI应用名称与ID不一致","可同步")))),IF(COUNTIF('录入字典'!$A$2:$A$200,B31)=0,"场景ID无效",IF(C31&lt;&gt;VLOOKUP(B31,'录入字典'!$A$2:$B$200,2,FALSE),"场景名称与ID不一致",IF(E31="",IF(F31="","待填AI应用","待建产品"),IF(COUNTIF('录入字典'!$C$2:$C$200,E31)=0,"AI应用ID无效",IF(F31="","补充AI应用名称",IF(F31&lt;&gt;VLOOKUP(E31,'录入字典'!$C$2:$D$200,2,FALSE),"AI应用名称与ID不一致","可同步"))))))))</f>
        <v/>
      </c>
    </row>
    <row r="32">
      <c r="A32" s="5" t="inlineStr">
        <is>
          <t>CASE-0031</t>
        </is>
      </c>
      <c r="B32" s="5" t="inlineStr">
        <is>
          <t>S037</t>
        </is>
      </c>
      <c r="C32" s="5" t="inlineStr">
        <is>
          <t>审核报名资格</t>
        </is>
      </c>
      <c r="D32" s="5" t="inlineStr">
        <is>
          <t>学科赛事报名时，AI 自动审核参赛资格：年级、学科、往届成绩等，不符合条件的自动驳回并说明原因。</t>
        </is>
      </c>
      <c r="E32" s="5" t="inlineStr">
        <is>
          <t>A033</t>
        </is>
      </c>
      <c r="F32" s="5" t="inlineStr">
        <is>
          <t>AI 资格审核</t>
        </is>
      </c>
      <c r="G32" s="5" t="inlineStr">
        <is>
          <t>教育</t>
        </is>
      </c>
      <c r="H32" s="5" t="inlineStr">
        <is>
          <t>运营</t>
        </is>
      </c>
      <c r="I32" s="5" t="n"/>
      <c r="J32" s="5" t="inlineStr">
        <is>
          <t>用户筛选 CSV 序号 111；图片：https://aka.doubaocdn.com/s/hYfl2K2xZW</t>
        </is>
      </c>
      <c r="K32" s="5">
        <f>IF(COUNTA(C32:D32,F32)=0,"",IF(B32="",IF(E32="",IF(F32="","待填AI应用","待建产品"),IF(COUNTIF('录入字典'!$C$2:$C$200,E32)=0,"AI应用ID无效",IF(F32="","补充AI应用名称",IF(F32&lt;&gt;VLOOKUP(E32,'录入字典'!$C$2:$D$200,2,FALSE),"AI应用名称与ID不一致","可同步")))),IF(COUNTIF('录入字典'!$A$2:$A$200,B32)=0,"场景ID无效",IF(C32&lt;&gt;VLOOKUP(B32,'录入字典'!$A$2:$B$200,2,FALSE),"场景名称与ID不一致",IF(E32="",IF(F32="","待填AI应用","待建产品"),IF(COUNTIF('录入字典'!$C$2:$C$200,E32)=0,"AI应用ID无效",IF(F32="","补充AI应用名称",IF(F32&lt;&gt;VLOOKUP(E32,'录入字典'!$C$2:$D$200,2,FALSE),"AI应用名称与ID不一致","可同步"))))))))</f>
        <v/>
      </c>
    </row>
    <row r="33">
      <c r="A33" s="5" t="inlineStr">
        <is>
          <t>CASE-0032</t>
        </is>
      </c>
      <c r="B33" s="5" t="inlineStr">
        <is>
          <t>S038</t>
        </is>
      </c>
      <c r="C33" s="5" t="inlineStr">
        <is>
          <t>撰写产品 PRD</t>
        </is>
      </c>
      <c r="D33" s="5" t="inlineStr">
        <is>
          <t>需求进入方案阶段后，AI 汇总背景、目标、范围、用户故事和验收标准，生成结构化 PRD 初稿。</t>
        </is>
      </c>
      <c r="E33" s="5" t="inlineStr">
        <is>
          <t>A011</t>
        </is>
      </c>
      <c r="F33" s="5" t="inlineStr">
        <is>
          <t>AI 生成云文档</t>
        </is>
      </c>
      <c r="G33" s="5" t="inlineStr">
        <is>
          <t>互联网｜消费电子｜零售</t>
        </is>
      </c>
      <c r="H33" s="5" t="inlineStr">
        <is>
          <t>产品经理</t>
        </is>
      </c>
      <c r="I33" s="5" t="n"/>
      <c r="J33" s="5" t="inlineStr">
        <is>
          <t>用户指定新增场景；文案由助手整理。</t>
        </is>
      </c>
      <c r="K33" s="5">
        <f>IF(COUNTA(C33:D33,F33)=0,"",IF(B33="",IF(E33="",IF(F33="","待填AI应用","待建产品"),IF(COUNTIF('录入字典'!$C$2:$C$200,E33)=0,"AI应用ID无效",IF(F33="","补充AI应用名称",IF(F33&lt;&gt;VLOOKUP(E33,'录入字典'!$C$2:$D$200,2,FALSE),"AI应用名称与ID不一致","可同步")))),IF(COUNTIF('录入字典'!$A$2:$A$200,B33)=0,"场景ID无效",IF(C33&lt;&gt;VLOOKUP(B33,'录入字典'!$A$2:$B$200,2,FALSE),"场景名称与ID不一致",IF(E33="",IF(F33="","待填AI应用","待建产品"),IF(COUNTIF('录入字典'!$C$2:$C$200,E33)=0,"AI应用ID无效",IF(F33="","补充AI应用名称",IF(F33&lt;&gt;VLOOKUP(E33,'录入字典'!$C$2:$D$200,2,FALSE),"AI应用名称与ID不一致","可同步"))))))))</f>
        <v/>
      </c>
    </row>
    <row r="34">
      <c r="A34" s="5" t="inlineStr">
        <is>
          <t>CASE-0033</t>
        </is>
      </c>
      <c r="B34" s="5" t="inlineStr">
        <is>
          <t>S039</t>
        </is>
      </c>
      <c r="C34" s="5" t="inlineStr">
        <is>
          <t>走查产品需求</t>
        </is>
      </c>
      <c r="D34" s="5" t="inlineStr">
        <is>
          <t>需求提交评审前，AI 按 PM 走查清单检查目标、场景、范围、逻辑和验收标准，输出修改建议。</t>
        </is>
      </c>
      <c r="E34" s="5" t="inlineStr">
        <is>
          <t>A001</t>
        </is>
      </c>
      <c r="F34" s="5" t="inlineStr">
        <is>
          <t>自定义指令</t>
        </is>
      </c>
      <c r="G34" s="5" t="inlineStr">
        <is>
          <t>互联网｜消费电子｜游戏</t>
        </is>
      </c>
      <c r="H34" s="5" t="inlineStr">
        <is>
          <t>产品经理｜项目经理</t>
        </is>
      </c>
      <c r="I34" s="5" t="n"/>
      <c r="J34" s="5" t="inlineStr">
        <is>
          <t>用户指定新增场景；文案由助手整理。</t>
        </is>
      </c>
      <c r="K34" s="5">
        <f>IF(COUNTA(C34:D34,F34)=0,"",IF(B34="",IF(E34="",IF(F34="","待填AI应用","待建产品"),IF(COUNTIF('录入字典'!$C$2:$C$200,E34)=0,"AI应用ID无效",IF(F34="","补充AI应用名称",IF(F34&lt;&gt;VLOOKUP(E34,'录入字典'!$C$2:$D$200,2,FALSE),"AI应用名称与ID不一致","可同步")))),IF(COUNTIF('录入字典'!$A$2:$A$200,B34)=0,"场景ID无效",IF(C34&lt;&gt;VLOOKUP(B34,'录入字典'!$A$2:$B$200,2,FALSE),"场景名称与ID不一致",IF(E34="",IF(F34="","待填AI应用","待建产品"),IF(COUNTIF('录入字典'!$C$2:$C$200,E34)=0,"AI应用ID无效",IF(F34="","补充AI应用名称",IF(F34&lt;&gt;VLOOKUP(E34,'录入字典'!$C$2:$D$200,2,FALSE),"AI应用名称与ID不一致","可同步"))))))))</f>
        <v/>
      </c>
    </row>
    <row r="35">
      <c r="A35" s="5" t="inlineStr">
        <is>
          <t>CASE-0034</t>
        </is>
      </c>
      <c r="B35" s="5" t="inlineStr">
        <is>
          <t>S040</t>
        </is>
      </c>
      <c r="C35" s="5" t="inlineStr">
        <is>
          <t>总结项目成果</t>
        </is>
      </c>
      <c r="D35" s="5" t="inlineStr">
        <is>
          <t>项目或阶段结束后，AI 汇总目标达成、关键交付、风险处理和经验教训，生成项目总结初稿。</t>
        </is>
      </c>
      <c r="E35" s="5" t="inlineStr">
        <is>
          <t>A005</t>
        </is>
      </c>
      <c r="F35" s="5" t="inlineStr">
        <is>
          <t>内容总结</t>
        </is>
      </c>
      <c r="G35" s="5" t="inlineStr">
        <is>
          <t>互联网｜制造｜教育｜能源</t>
        </is>
      </c>
      <c r="H35" s="5" t="inlineStr">
        <is>
          <t>项目经理｜高管</t>
        </is>
      </c>
      <c r="I35" s="5" t="n"/>
      <c r="J35" s="5" t="inlineStr">
        <is>
          <t>用户指定新增场景；文案由助手整理。</t>
        </is>
      </c>
      <c r="K35" s="5">
        <f>IF(COUNTA(C35:D35,F35)=0,"",IF(B35="",IF(E35="",IF(F35="","待填AI应用","待建产品"),IF(COUNTIF('录入字典'!$C$2:$C$200,E35)=0,"AI应用ID无效",IF(F35="","补充AI应用名称",IF(F35&lt;&gt;VLOOKUP(E35,'录入字典'!$C$2:$D$200,2,FALSE),"AI应用名称与ID不一致","可同步")))),IF(COUNTIF('录入字典'!$A$2:$A$200,B35)=0,"场景ID无效",IF(C35&lt;&gt;VLOOKUP(B35,'录入字典'!$A$2:$B$200,2,FALSE),"场景名称与ID不一致",IF(E35="",IF(F35="","待填AI应用","待建产品"),IF(COUNTIF('录入字典'!$C$2:$C$200,E35)=0,"AI应用ID无效",IF(F35="","补充AI应用名称",IF(F35&lt;&gt;VLOOKUP(E35,'录入字典'!$C$2:$D$200,2,FALSE),"AI应用名称与ID不一致","可同步"))))))))</f>
        <v/>
      </c>
    </row>
    <row r="36">
      <c r="A36" s="5" t="inlineStr">
        <is>
          <t>CASE-0035</t>
        </is>
      </c>
      <c r="B36" s="5" t="inlineStr">
        <is>
          <t>S041</t>
        </is>
      </c>
      <c r="C36" s="5" t="inlineStr">
        <is>
          <t>撰写产品手册</t>
        </is>
      </c>
      <c r="D36" s="5" t="inlineStr">
        <is>
          <t>版本验收后，AI 汇总功能说明、操作步骤和注意事项，生成面向用户的产品手册初稿。</t>
        </is>
      </c>
      <c r="E36" s="5" t="inlineStr">
        <is>
          <t>A011</t>
        </is>
      </c>
      <c r="F36" s="5" t="inlineStr">
        <is>
          <t>AI 生成云文档</t>
        </is>
      </c>
      <c r="G36" s="5" t="inlineStr">
        <is>
          <t>互联网｜消费电子｜教育</t>
        </is>
      </c>
      <c r="H36" s="5" t="inlineStr">
        <is>
          <t>产品经理｜运营</t>
        </is>
      </c>
      <c r="I36" s="5" t="n"/>
      <c r="J36" s="5" t="inlineStr">
        <is>
          <t>用户指定新增场景；文案由助手整理。</t>
        </is>
      </c>
      <c r="K36" s="5">
        <f>IF(COUNTA(C36:D36,F36)=0,"",IF(B36="",IF(E36="",IF(F36="","待填AI应用","待建产品"),IF(COUNTIF('录入字典'!$C$2:$C$200,E36)=0,"AI应用ID无效",IF(F36="","补充AI应用名称",IF(F36&lt;&gt;VLOOKUP(E36,'录入字典'!$C$2:$D$200,2,FALSE),"AI应用名称与ID不一致","可同步")))),IF(COUNTIF('录入字典'!$A$2:$A$200,B36)=0,"场景ID无效",IF(C36&lt;&gt;VLOOKUP(B36,'录入字典'!$A$2:$B$200,2,FALSE),"场景名称与ID不一致",IF(E36="",IF(F36="","待填AI应用","待建产品"),IF(COUNTIF('录入字典'!$C$2:$C$200,E36)=0,"AI应用ID无效",IF(F36="","补充AI应用名称",IF(F36&lt;&gt;VLOOKUP(E36,'录入字典'!$C$2:$D$200,2,FALSE),"AI应用名称与ID不一致","可同步"))))))))</f>
        <v/>
      </c>
    </row>
    <row r="37">
      <c r="A37" s="5" t="inlineStr">
        <is>
          <t>CASE-0036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>
        <f>IF(COUNTA(C37:D37,F37)=0,"",IF(B37="",IF(E37="",IF(F37="","待填AI应用","待建产品"),IF(COUNTIF('录入字典'!$C$2:$C$200,E37)=0,"AI应用ID无效",IF(F37="","补充AI应用名称",IF(F37&lt;&gt;VLOOKUP(E37,'录入字典'!$C$2:$D$200,2,FALSE),"AI应用名称与ID不一致","可同步")))),IF(COUNTIF('录入字典'!$A$2:$A$200,B37)=0,"场景ID无效",IF(C37&lt;&gt;VLOOKUP(B37,'录入字典'!$A$2:$B$200,2,FALSE),"场景名称与ID不一致",IF(E37="",IF(F37="","待填AI应用","待建产品"),IF(COUNTIF('录入字典'!$C$2:$C$200,E37)=0,"AI应用ID无效",IF(F37="","补充AI应用名称",IF(F37&lt;&gt;VLOOKUP(E37,'录入字典'!$C$2:$D$200,2,FALSE),"AI应用名称与ID不一致","可同步"))))))))</f>
        <v/>
      </c>
    </row>
    <row r="38">
      <c r="A38" s="5" t="inlineStr">
        <is>
          <t>CASE-0037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>
        <f>IF(COUNTA(C38:D38,F38)=0,"",IF(B38="",IF(E38="",IF(F38="","待填AI应用","待建产品"),IF(COUNTIF('录入字典'!$C$2:$C$200,E38)=0,"AI应用ID无效",IF(F38="","补充AI应用名称",IF(F38&lt;&gt;VLOOKUP(E38,'录入字典'!$C$2:$D$200,2,FALSE),"AI应用名称与ID不一致","可同步")))),IF(COUNTIF('录入字典'!$A$2:$A$200,B38)=0,"场景ID无效",IF(C38&lt;&gt;VLOOKUP(B38,'录入字典'!$A$2:$B$200,2,FALSE),"场景名称与ID不一致",IF(E38="",IF(F38="","待填AI应用","待建产品"),IF(COUNTIF('录入字典'!$C$2:$C$200,E38)=0,"AI应用ID无效",IF(F38="","补充AI应用名称",IF(F38&lt;&gt;VLOOKUP(E38,'录入字典'!$C$2:$D$200,2,FALSE),"AI应用名称与ID不一致","可同步"))))))))</f>
        <v/>
      </c>
    </row>
    <row r="39">
      <c r="A39" s="5" t="inlineStr">
        <is>
          <t>CASE-0038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>
        <f>IF(COUNTA(C39:D39,F39)=0,"",IF(B39="",IF(E39="",IF(F39="","待填AI应用","待建产品"),IF(COUNTIF('录入字典'!$C$2:$C$200,E39)=0,"AI应用ID无效",IF(F39="","补充AI应用名称",IF(F39&lt;&gt;VLOOKUP(E39,'录入字典'!$C$2:$D$200,2,FALSE),"AI应用名称与ID不一致","可同步")))),IF(COUNTIF('录入字典'!$A$2:$A$200,B39)=0,"场景ID无效",IF(C39&lt;&gt;VLOOKUP(B39,'录入字典'!$A$2:$B$200,2,FALSE),"场景名称与ID不一致",IF(E39="",IF(F39="","待填AI应用","待建产品"),IF(COUNTIF('录入字典'!$C$2:$C$200,E39)=0,"AI应用ID无效",IF(F39="","补充AI应用名称",IF(F39&lt;&gt;VLOOKUP(E39,'录入字典'!$C$2:$D$200,2,FALSE),"AI应用名称与ID不一致","可同步"))))))))</f>
        <v/>
      </c>
    </row>
    <row r="40">
      <c r="A40" s="5" t="inlineStr">
        <is>
          <t>CASE-0039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>
        <f>IF(COUNTA(C40:D40,F40)=0,"",IF(B40="",IF(E40="",IF(F40="","待填AI应用","待建产品"),IF(COUNTIF('录入字典'!$C$2:$C$200,E40)=0,"AI应用ID无效",IF(F40="","补充AI应用名称",IF(F40&lt;&gt;VLOOKUP(E40,'录入字典'!$C$2:$D$200,2,FALSE),"AI应用名称与ID不一致","可同步")))),IF(COUNTIF('录入字典'!$A$2:$A$200,B40)=0,"场景ID无效",IF(C40&lt;&gt;VLOOKUP(B40,'录入字典'!$A$2:$B$200,2,FALSE),"场景名称与ID不一致",IF(E40="",IF(F40="","待填AI应用","待建产品"),IF(COUNTIF('录入字典'!$C$2:$C$200,E40)=0,"AI应用ID无效",IF(F40="","补充AI应用名称",IF(F40&lt;&gt;VLOOKUP(E40,'录入字典'!$C$2:$D$200,2,FALSE),"AI应用名称与ID不一致","可同步"))))))))</f>
        <v/>
      </c>
    </row>
    <row r="41">
      <c r="A41" s="5" t="inlineStr">
        <is>
          <t>CASE-0040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>
        <f>IF(COUNTA(C41:D41,F41)=0,"",IF(B41="",IF(E41="",IF(F41="","待填AI应用","待建产品"),IF(COUNTIF('录入字典'!$C$2:$C$200,E41)=0,"AI应用ID无效",IF(F41="","补充AI应用名称",IF(F41&lt;&gt;VLOOKUP(E41,'录入字典'!$C$2:$D$200,2,FALSE),"AI应用名称与ID不一致","可同步")))),IF(COUNTIF('录入字典'!$A$2:$A$200,B41)=0,"场景ID无效",IF(C41&lt;&gt;VLOOKUP(B41,'录入字典'!$A$2:$B$200,2,FALSE),"场景名称与ID不一致",IF(E41="",IF(F41="","待填AI应用","待建产品"),IF(COUNTIF('录入字典'!$C$2:$C$200,E41)=0,"AI应用ID无效",IF(F41="","补充AI应用名称",IF(F41&lt;&gt;VLOOKUP(E41,'录入字典'!$C$2:$D$200,2,FALSE),"AI应用名称与ID不一致","可同步"))))))))</f>
        <v/>
      </c>
    </row>
    <row r="42">
      <c r="A42" s="5" t="inlineStr">
        <is>
          <t>CASE-0041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>
        <f>IF(COUNTA(C42:D42,F42)=0,"",IF(B42="",IF(E42="",IF(F42="","待填AI应用","待建产品"),IF(COUNTIF('录入字典'!$C$2:$C$200,E42)=0,"AI应用ID无效",IF(F42="","补充AI应用名称",IF(F42&lt;&gt;VLOOKUP(E42,'录入字典'!$C$2:$D$200,2,FALSE),"AI应用名称与ID不一致","可同步")))),IF(COUNTIF('录入字典'!$A$2:$A$200,B42)=0,"场景ID无效",IF(C42&lt;&gt;VLOOKUP(B42,'录入字典'!$A$2:$B$200,2,FALSE),"场景名称与ID不一致",IF(E42="",IF(F42="","待填AI应用","待建产品"),IF(COUNTIF('录入字典'!$C$2:$C$200,E42)=0,"AI应用ID无效",IF(F42="","补充AI应用名称",IF(F42&lt;&gt;VLOOKUP(E42,'录入字典'!$C$2:$D$200,2,FALSE),"AI应用名称与ID不一致","可同步"))))))))</f>
        <v/>
      </c>
    </row>
    <row r="43">
      <c r="A43" s="5" t="inlineStr">
        <is>
          <t>CASE-0042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>
        <f>IF(COUNTA(C43:D43,F43)=0,"",IF(B43="",IF(E43="",IF(F43="","待填AI应用","待建产品"),IF(COUNTIF('录入字典'!$C$2:$C$200,E43)=0,"AI应用ID无效",IF(F43="","补充AI应用名称",IF(F43&lt;&gt;VLOOKUP(E43,'录入字典'!$C$2:$D$200,2,FALSE),"AI应用名称与ID不一致","可同步")))),IF(COUNTIF('录入字典'!$A$2:$A$200,B43)=0,"场景ID无效",IF(C43&lt;&gt;VLOOKUP(B43,'录入字典'!$A$2:$B$200,2,FALSE),"场景名称与ID不一致",IF(E43="",IF(F43="","待填AI应用","待建产品"),IF(COUNTIF('录入字典'!$C$2:$C$200,E43)=0,"AI应用ID无效",IF(F43="","补充AI应用名称",IF(F43&lt;&gt;VLOOKUP(E43,'录入字典'!$C$2:$D$200,2,FALSE),"AI应用名称与ID不一致","可同步"))))))))</f>
        <v/>
      </c>
    </row>
    <row r="44">
      <c r="A44" s="5" t="inlineStr">
        <is>
          <t>CASE-0043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>
        <f>IF(COUNTA(C44:D44,F44)=0,"",IF(B44="",IF(E44="",IF(F44="","待填AI应用","待建产品"),IF(COUNTIF('录入字典'!$C$2:$C$200,E44)=0,"AI应用ID无效",IF(F44="","补充AI应用名称",IF(F44&lt;&gt;VLOOKUP(E44,'录入字典'!$C$2:$D$200,2,FALSE),"AI应用名称与ID不一致","可同步")))),IF(COUNTIF('录入字典'!$A$2:$A$200,B44)=0,"场景ID无效",IF(C44&lt;&gt;VLOOKUP(B44,'录入字典'!$A$2:$B$200,2,FALSE),"场景名称与ID不一致",IF(E44="",IF(F44="","待填AI应用","待建产品"),IF(COUNTIF('录入字典'!$C$2:$C$200,E44)=0,"AI应用ID无效",IF(F44="","补充AI应用名称",IF(F44&lt;&gt;VLOOKUP(E44,'录入字典'!$C$2:$D$200,2,FALSE),"AI应用名称与ID不一致","可同步"))))))))</f>
        <v/>
      </c>
    </row>
    <row r="45">
      <c r="A45" s="5" t="inlineStr">
        <is>
          <t>CASE-0044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>
        <f>IF(COUNTA(C45:D45,F45)=0,"",IF(B45="",IF(E45="",IF(F45="","待填AI应用","待建产品"),IF(COUNTIF('录入字典'!$C$2:$C$200,E45)=0,"AI应用ID无效",IF(F45="","补充AI应用名称",IF(F45&lt;&gt;VLOOKUP(E45,'录入字典'!$C$2:$D$200,2,FALSE),"AI应用名称与ID不一致","可同步")))),IF(COUNTIF('录入字典'!$A$2:$A$200,B45)=0,"场景ID无效",IF(C45&lt;&gt;VLOOKUP(B45,'录入字典'!$A$2:$B$200,2,FALSE),"场景名称与ID不一致",IF(E45="",IF(F45="","待填AI应用","待建产品"),IF(COUNTIF('录入字典'!$C$2:$C$200,E45)=0,"AI应用ID无效",IF(F45="","补充AI应用名称",IF(F45&lt;&gt;VLOOKUP(E45,'录入字典'!$C$2:$D$200,2,FALSE),"AI应用名称与ID不一致","可同步"))))))))</f>
        <v/>
      </c>
    </row>
    <row r="46">
      <c r="A46" s="5" t="inlineStr">
        <is>
          <t>CASE-0045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>
        <f>IF(COUNTA(C46:D46,F46)=0,"",IF(B46="",IF(E46="",IF(F46="","待填AI应用","待建产品"),IF(COUNTIF('录入字典'!$C$2:$C$200,E46)=0,"AI应用ID无效",IF(F46="","补充AI应用名称",IF(F46&lt;&gt;VLOOKUP(E46,'录入字典'!$C$2:$D$200,2,FALSE),"AI应用名称与ID不一致","可同步")))),IF(COUNTIF('录入字典'!$A$2:$A$200,B46)=0,"场景ID无效",IF(C46&lt;&gt;VLOOKUP(B46,'录入字典'!$A$2:$B$200,2,FALSE),"场景名称与ID不一致",IF(E46="",IF(F46="","待填AI应用","待建产品"),IF(COUNTIF('录入字典'!$C$2:$C$200,E46)=0,"AI应用ID无效",IF(F46="","补充AI应用名称",IF(F46&lt;&gt;VLOOKUP(E46,'录入字典'!$C$2:$D$200,2,FALSE),"AI应用名称与ID不一致","可同步"))))))))</f>
        <v/>
      </c>
    </row>
    <row r="47">
      <c r="A47" s="5" t="inlineStr">
        <is>
          <t>CASE-0046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>
        <f>IF(COUNTA(C47:D47,F47)=0,"",IF(B47="",IF(E47="",IF(F47="","待填AI应用","待建产品"),IF(COUNTIF('录入字典'!$C$2:$C$200,E47)=0,"AI应用ID无效",IF(F47="","补充AI应用名称",IF(F47&lt;&gt;VLOOKUP(E47,'录入字典'!$C$2:$D$200,2,FALSE),"AI应用名称与ID不一致","可同步")))),IF(COUNTIF('录入字典'!$A$2:$A$200,B47)=0,"场景ID无效",IF(C47&lt;&gt;VLOOKUP(B47,'录入字典'!$A$2:$B$200,2,FALSE),"场景名称与ID不一致",IF(E47="",IF(F47="","待填AI应用","待建产品"),IF(COUNTIF('录入字典'!$C$2:$C$200,E47)=0,"AI应用ID无效",IF(F47="","补充AI应用名称",IF(F47&lt;&gt;VLOOKUP(E47,'录入字典'!$C$2:$D$200,2,FALSE),"AI应用名称与ID不一致","可同步"))))))))</f>
        <v/>
      </c>
    </row>
    <row r="48">
      <c r="A48" s="5" t="inlineStr">
        <is>
          <t>CASE-0047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>
        <f>IF(COUNTA(C48:D48,F48)=0,"",IF(B48="",IF(E48="",IF(F48="","待填AI应用","待建产品"),IF(COUNTIF('录入字典'!$C$2:$C$200,E48)=0,"AI应用ID无效",IF(F48="","补充AI应用名称",IF(F48&lt;&gt;VLOOKUP(E48,'录入字典'!$C$2:$D$200,2,FALSE),"AI应用名称与ID不一致","可同步")))),IF(COUNTIF('录入字典'!$A$2:$A$200,B48)=0,"场景ID无效",IF(C48&lt;&gt;VLOOKUP(B48,'录入字典'!$A$2:$B$200,2,FALSE),"场景名称与ID不一致",IF(E48="",IF(F48="","待填AI应用","待建产品"),IF(COUNTIF('录入字典'!$C$2:$C$200,E48)=0,"AI应用ID无效",IF(F48="","补充AI应用名称",IF(F48&lt;&gt;VLOOKUP(E48,'录入字典'!$C$2:$D$200,2,FALSE),"AI应用名称与ID不一致","可同步"))))))))</f>
        <v/>
      </c>
    </row>
    <row r="49">
      <c r="A49" s="5" t="inlineStr">
        <is>
          <t>CASE-0048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>
        <f>IF(COUNTA(C49:D49,F49)=0,"",IF(B49="",IF(E49="",IF(F49="","待填AI应用","待建产品"),IF(COUNTIF('录入字典'!$C$2:$C$200,E49)=0,"AI应用ID无效",IF(F49="","补充AI应用名称",IF(F49&lt;&gt;VLOOKUP(E49,'录入字典'!$C$2:$D$200,2,FALSE),"AI应用名称与ID不一致","可同步")))),IF(COUNTIF('录入字典'!$A$2:$A$200,B49)=0,"场景ID无效",IF(C49&lt;&gt;VLOOKUP(B49,'录入字典'!$A$2:$B$200,2,FALSE),"场景名称与ID不一致",IF(E49="",IF(F49="","待填AI应用","待建产品"),IF(COUNTIF('录入字典'!$C$2:$C$200,E49)=0,"AI应用ID无效",IF(F49="","补充AI应用名称",IF(F49&lt;&gt;VLOOKUP(E49,'录入字典'!$C$2:$D$200,2,FALSE),"AI应用名称与ID不一致","可同步"))))))))</f>
        <v/>
      </c>
    </row>
    <row r="50">
      <c r="A50" s="5" t="inlineStr">
        <is>
          <t>CASE-0049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>
        <f>IF(COUNTA(C50:D50,F50)=0,"",IF(B50="",IF(E50="",IF(F50="","待填AI应用","待建产品"),IF(COUNTIF('录入字典'!$C$2:$C$200,E50)=0,"AI应用ID无效",IF(F50="","补充AI应用名称",IF(F50&lt;&gt;VLOOKUP(E50,'录入字典'!$C$2:$D$200,2,FALSE),"AI应用名称与ID不一致","可同步")))),IF(COUNTIF('录入字典'!$A$2:$A$200,B50)=0,"场景ID无效",IF(C50&lt;&gt;VLOOKUP(B50,'录入字典'!$A$2:$B$200,2,FALSE),"场景名称与ID不一致",IF(E50="",IF(F50="","待填AI应用","待建产品"),IF(COUNTIF('录入字典'!$C$2:$C$200,E50)=0,"AI应用ID无效",IF(F50="","补充AI应用名称",IF(F50&lt;&gt;VLOOKUP(E50,'录入字典'!$C$2:$D$200,2,FALSE),"AI应用名称与ID不一致","可同步"))))))))</f>
        <v/>
      </c>
    </row>
    <row r="51">
      <c r="A51" s="5" t="inlineStr">
        <is>
          <t>CASE-0050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>
        <f>IF(COUNTA(C51:D51,F51)=0,"",IF(B51="",IF(E51="",IF(F51="","待填AI应用","待建产品"),IF(COUNTIF('录入字典'!$C$2:$C$200,E51)=0,"AI应用ID无效",IF(F51="","补充AI应用名称",IF(F51&lt;&gt;VLOOKUP(E51,'录入字典'!$C$2:$D$200,2,FALSE),"AI应用名称与ID不一致","可同步")))),IF(COUNTIF('录入字典'!$A$2:$A$200,B51)=0,"场景ID无效",IF(C51&lt;&gt;VLOOKUP(B51,'录入字典'!$A$2:$B$200,2,FALSE),"场景名称与ID不一致",IF(E51="",IF(F51="","待填AI应用","待建产品"),IF(COUNTIF('录入字典'!$C$2:$C$200,E51)=0,"AI应用ID无效",IF(F51="","补充AI应用名称",IF(F51&lt;&gt;VLOOKUP(E51,'录入字典'!$C$2:$D$200,2,FALSE),"AI应用名称与ID不一致","可同步"))))))))</f>
        <v/>
      </c>
    </row>
    <row r="52">
      <c r="A52" s="5" t="inlineStr">
        <is>
          <t>CASE-0051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>
        <f>IF(COUNTA(C52:D52,F52)=0,"",IF(B52="",IF(E52="",IF(F52="","待填AI应用","待建产品"),IF(COUNTIF('录入字典'!$C$2:$C$200,E52)=0,"AI应用ID无效",IF(F52="","补充AI应用名称",IF(F52&lt;&gt;VLOOKUP(E52,'录入字典'!$C$2:$D$200,2,FALSE),"AI应用名称与ID不一致","可同步")))),IF(COUNTIF('录入字典'!$A$2:$A$200,B52)=0,"场景ID无效",IF(C52&lt;&gt;VLOOKUP(B52,'录入字典'!$A$2:$B$200,2,FALSE),"场景名称与ID不一致",IF(E52="",IF(F52="","待填AI应用","待建产品"),IF(COUNTIF('录入字典'!$C$2:$C$200,E52)=0,"AI应用ID无效",IF(F52="","补充AI应用名称",IF(F52&lt;&gt;VLOOKUP(E52,'录入字典'!$C$2:$D$200,2,FALSE),"AI应用名称与ID不一致","可同步"))))))))</f>
        <v/>
      </c>
    </row>
    <row r="53">
      <c r="A53" s="5" t="inlineStr">
        <is>
          <t>CASE-0052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>
        <f>IF(COUNTA(C53:D53,F53)=0,"",IF(B53="",IF(E53="",IF(F53="","待填AI应用","待建产品"),IF(COUNTIF('录入字典'!$C$2:$C$200,E53)=0,"AI应用ID无效",IF(F53="","补充AI应用名称",IF(F53&lt;&gt;VLOOKUP(E53,'录入字典'!$C$2:$D$200,2,FALSE),"AI应用名称与ID不一致","可同步")))),IF(COUNTIF('录入字典'!$A$2:$A$200,B53)=0,"场景ID无效",IF(C53&lt;&gt;VLOOKUP(B53,'录入字典'!$A$2:$B$200,2,FALSE),"场景名称与ID不一致",IF(E53="",IF(F53="","待填AI应用","待建产品"),IF(COUNTIF('录入字典'!$C$2:$C$200,E53)=0,"AI应用ID无效",IF(F53="","补充AI应用名称",IF(F53&lt;&gt;VLOOKUP(E53,'录入字典'!$C$2:$D$200,2,FALSE),"AI应用名称与ID不一致","可同步"))))))))</f>
        <v/>
      </c>
    </row>
    <row r="54">
      <c r="A54" s="5" t="inlineStr">
        <is>
          <t>CASE-0053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>
        <f>IF(COUNTA(C54:D54,F54)=0,"",IF(B54="",IF(E54="",IF(F54="","待填AI应用","待建产品"),IF(COUNTIF('录入字典'!$C$2:$C$200,E54)=0,"AI应用ID无效",IF(F54="","补充AI应用名称",IF(F54&lt;&gt;VLOOKUP(E54,'录入字典'!$C$2:$D$200,2,FALSE),"AI应用名称与ID不一致","可同步")))),IF(COUNTIF('录入字典'!$A$2:$A$200,B54)=0,"场景ID无效",IF(C54&lt;&gt;VLOOKUP(B54,'录入字典'!$A$2:$B$200,2,FALSE),"场景名称与ID不一致",IF(E54="",IF(F54="","待填AI应用","待建产品"),IF(COUNTIF('录入字典'!$C$2:$C$200,E54)=0,"AI应用ID无效",IF(F54="","补充AI应用名称",IF(F54&lt;&gt;VLOOKUP(E54,'录入字典'!$C$2:$D$200,2,FALSE),"AI应用名称与ID不一致","可同步"))))))))</f>
        <v/>
      </c>
    </row>
    <row r="55">
      <c r="A55" s="5" t="inlineStr">
        <is>
          <t>CASE-0054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>
        <f>IF(COUNTA(C55:D55,F55)=0,"",IF(B55="",IF(E55="",IF(F55="","待填AI应用","待建产品"),IF(COUNTIF('录入字典'!$C$2:$C$200,E55)=0,"AI应用ID无效",IF(F55="","补充AI应用名称",IF(F55&lt;&gt;VLOOKUP(E55,'录入字典'!$C$2:$D$200,2,FALSE),"AI应用名称与ID不一致","可同步")))),IF(COUNTIF('录入字典'!$A$2:$A$200,B55)=0,"场景ID无效",IF(C55&lt;&gt;VLOOKUP(B55,'录入字典'!$A$2:$B$200,2,FALSE),"场景名称与ID不一致",IF(E55="",IF(F55="","待填AI应用","待建产品"),IF(COUNTIF('录入字典'!$C$2:$C$200,E55)=0,"AI应用ID无效",IF(F55="","补充AI应用名称",IF(F55&lt;&gt;VLOOKUP(E55,'录入字典'!$C$2:$D$200,2,FALSE),"AI应用名称与ID不一致","可同步"))))))))</f>
        <v/>
      </c>
    </row>
    <row r="56">
      <c r="A56" s="5" t="inlineStr">
        <is>
          <t>CASE-0055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>
        <f>IF(COUNTA(C56:D56,F56)=0,"",IF(B56="",IF(E56="",IF(F56="","待填AI应用","待建产品"),IF(COUNTIF('录入字典'!$C$2:$C$200,E56)=0,"AI应用ID无效",IF(F56="","补充AI应用名称",IF(F56&lt;&gt;VLOOKUP(E56,'录入字典'!$C$2:$D$200,2,FALSE),"AI应用名称与ID不一致","可同步")))),IF(COUNTIF('录入字典'!$A$2:$A$200,B56)=0,"场景ID无效",IF(C56&lt;&gt;VLOOKUP(B56,'录入字典'!$A$2:$B$200,2,FALSE),"场景名称与ID不一致",IF(E56="",IF(F56="","待填AI应用","待建产品"),IF(COUNTIF('录入字典'!$C$2:$C$200,E56)=0,"AI应用ID无效",IF(F56="","补充AI应用名称",IF(F56&lt;&gt;VLOOKUP(E56,'录入字典'!$C$2:$D$200,2,FALSE),"AI应用名称与ID不一致","可同步"))))))))</f>
        <v/>
      </c>
    </row>
    <row r="57">
      <c r="A57" s="5" t="inlineStr">
        <is>
          <t>CASE-0056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>
        <f>IF(COUNTA(C57:D57,F57)=0,"",IF(B57="",IF(E57="",IF(F57="","待填AI应用","待建产品"),IF(COUNTIF('录入字典'!$C$2:$C$200,E57)=0,"AI应用ID无效",IF(F57="","补充AI应用名称",IF(F57&lt;&gt;VLOOKUP(E57,'录入字典'!$C$2:$D$200,2,FALSE),"AI应用名称与ID不一致","可同步")))),IF(COUNTIF('录入字典'!$A$2:$A$200,B57)=0,"场景ID无效",IF(C57&lt;&gt;VLOOKUP(B57,'录入字典'!$A$2:$B$200,2,FALSE),"场景名称与ID不一致",IF(E57="",IF(F57="","待填AI应用","待建产品"),IF(COUNTIF('录入字典'!$C$2:$C$200,E57)=0,"AI应用ID无效",IF(F57="","补充AI应用名称",IF(F57&lt;&gt;VLOOKUP(E57,'录入字典'!$C$2:$D$200,2,FALSE),"AI应用名称与ID不一致","可同步"))))))))</f>
        <v/>
      </c>
    </row>
    <row r="58">
      <c r="A58" s="5" t="inlineStr">
        <is>
          <t>CASE-0057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>
        <f>IF(COUNTA(C58:D58,F58)=0,"",IF(B58="",IF(E58="",IF(F58="","待填AI应用","待建产品"),IF(COUNTIF('录入字典'!$C$2:$C$200,E58)=0,"AI应用ID无效",IF(F58="","补充AI应用名称",IF(F58&lt;&gt;VLOOKUP(E58,'录入字典'!$C$2:$D$200,2,FALSE),"AI应用名称与ID不一致","可同步")))),IF(COUNTIF('录入字典'!$A$2:$A$200,B58)=0,"场景ID无效",IF(C58&lt;&gt;VLOOKUP(B58,'录入字典'!$A$2:$B$200,2,FALSE),"场景名称与ID不一致",IF(E58="",IF(F58="","待填AI应用","待建产品"),IF(COUNTIF('录入字典'!$C$2:$C$200,E58)=0,"AI应用ID无效",IF(F58="","补充AI应用名称",IF(F58&lt;&gt;VLOOKUP(E58,'录入字典'!$C$2:$D$200,2,FALSE),"AI应用名称与ID不一致","可同步"))))))))</f>
        <v/>
      </c>
    </row>
    <row r="59">
      <c r="A59" s="5" t="inlineStr">
        <is>
          <t>CASE-0058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>
        <f>IF(COUNTA(C59:D59,F59)=0,"",IF(B59="",IF(E59="",IF(F59="","待填AI应用","待建产品"),IF(COUNTIF('录入字典'!$C$2:$C$200,E59)=0,"AI应用ID无效",IF(F59="","补充AI应用名称",IF(F59&lt;&gt;VLOOKUP(E59,'录入字典'!$C$2:$D$200,2,FALSE),"AI应用名称与ID不一致","可同步")))),IF(COUNTIF('录入字典'!$A$2:$A$200,B59)=0,"场景ID无效",IF(C59&lt;&gt;VLOOKUP(B59,'录入字典'!$A$2:$B$200,2,FALSE),"场景名称与ID不一致",IF(E59="",IF(F59="","待填AI应用","待建产品"),IF(COUNTIF('录入字典'!$C$2:$C$200,E59)=0,"AI应用ID无效",IF(F59="","补充AI应用名称",IF(F59&lt;&gt;VLOOKUP(E59,'录入字典'!$C$2:$D$200,2,FALSE),"AI应用名称与ID不一致","可同步"))))))))</f>
        <v/>
      </c>
    </row>
    <row r="60">
      <c r="A60" s="5" t="inlineStr">
        <is>
          <t>CASE-0059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>
        <f>IF(COUNTA(C60:D60,F60)=0,"",IF(B60="",IF(E60="",IF(F60="","待填AI应用","待建产品"),IF(COUNTIF('录入字典'!$C$2:$C$200,E60)=0,"AI应用ID无效",IF(F60="","补充AI应用名称",IF(F60&lt;&gt;VLOOKUP(E60,'录入字典'!$C$2:$D$200,2,FALSE),"AI应用名称与ID不一致","可同步")))),IF(COUNTIF('录入字典'!$A$2:$A$200,B60)=0,"场景ID无效",IF(C60&lt;&gt;VLOOKUP(B60,'录入字典'!$A$2:$B$200,2,FALSE),"场景名称与ID不一致",IF(E60="",IF(F60="","待填AI应用","待建产品"),IF(COUNTIF('录入字典'!$C$2:$C$200,E60)=0,"AI应用ID无效",IF(F60="","补充AI应用名称",IF(F60&lt;&gt;VLOOKUP(E60,'录入字典'!$C$2:$D$200,2,FALSE),"AI应用名称与ID不一致","可同步"))))))))</f>
        <v/>
      </c>
    </row>
    <row r="61">
      <c r="A61" s="5" t="inlineStr">
        <is>
          <t>CASE-0060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>
        <f>IF(COUNTA(C61:D61,F61)=0,"",IF(B61="",IF(E61="",IF(F61="","待填AI应用","待建产品"),IF(COUNTIF('录入字典'!$C$2:$C$200,E61)=0,"AI应用ID无效",IF(F61="","补充AI应用名称",IF(F61&lt;&gt;VLOOKUP(E61,'录入字典'!$C$2:$D$200,2,FALSE),"AI应用名称与ID不一致","可同步")))),IF(COUNTIF('录入字典'!$A$2:$A$200,B61)=0,"场景ID无效",IF(C61&lt;&gt;VLOOKUP(B61,'录入字典'!$A$2:$B$200,2,FALSE),"场景名称与ID不一致",IF(E61="",IF(F61="","待填AI应用","待建产品"),IF(COUNTIF('录入字典'!$C$2:$C$200,E61)=0,"AI应用ID无效",IF(F61="","补充AI应用名称",IF(F61&lt;&gt;VLOOKUP(E61,'录入字典'!$C$2:$D$200,2,FALSE),"AI应用名称与ID不一致","可同步"))))))))</f>
        <v/>
      </c>
    </row>
    <row r="62">
      <c r="A62" s="5" t="inlineStr">
        <is>
          <t>CASE-0061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>
        <f>IF(COUNTA(C62:D62,F62)=0,"",IF(B62="",IF(E62="",IF(F62="","待填AI应用","待建产品"),IF(COUNTIF('录入字典'!$C$2:$C$200,E62)=0,"AI应用ID无效",IF(F62="","补充AI应用名称",IF(F62&lt;&gt;VLOOKUP(E62,'录入字典'!$C$2:$D$200,2,FALSE),"AI应用名称与ID不一致","可同步")))),IF(COUNTIF('录入字典'!$A$2:$A$200,B62)=0,"场景ID无效",IF(C62&lt;&gt;VLOOKUP(B62,'录入字典'!$A$2:$B$200,2,FALSE),"场景名称与ID不一致",IF(E62="",IF(F62="","待填AI应用","待建产品"),IF(COUNTIF('录入字典'!$C$2:$C$200,E62)=0,"AI应用ID无效",IF(F62="","补充AI应用名称",IF(F62&lt;&gt;VLOOKUP(E62,'录入字典'!$C$2:$D$200,2,FALSE),"AI应用名称与ID不一致","可同步"))))))))</f>
        <v/>
      </c>
    </row>
    <row r="63">
      <c r="A63" s="5" t="inlineStr">
        <is>
          <t>CASE-0062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>
        <f>IF(COUNTA(C63:D63,F63)=0,"",IF(B63="",IF(E63="",IF(F63="","待填AI应用","待建产品"),IF(COUNTIF('录入字典'!$C$2:$C$200,E63)=0,"AI应用ID无效",IF(F63="","补充AI应用名称",IF(F63&lt;&gt;VLOOKUP(E63,'录入字典'!$C$2:$D$200,2,FALSE),"AI应用名称与ID不一致","可同步")))),IF(COUNTIF('录入字典'!$A$2:$A$200,B63)=0,"场景ID无效",IF(C63&lt;&gt;VLOOKUP(B63,'录入字典'!$A$2:$B$200,2,FALSE),"场景名称与ID不一致",IF(E63="",IF(F63="","待填AI应用","待建产品"),IF(COUNTIF('录入字典'!$C$2:$C$200,E63)=0,"AI应用ID无效",IF(F63="","补充AI应用名称",IF(F63&lt;&gt;VLOOKUP(E63,'录入字典'!$C$2:$D$200,2,FALSE),"AI应用名称与ID不一致","可同步"))))))))</f>
        <v/>
      </c>
    </row>
    <row r="64">
      <c r="A64" s="5" t="inlineStr">
        <is>
          <t>CASE-0063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>
        <f>IF(COUNTA(C64:D64,F64)=0,"",IF(B64="",IF(E64="",IF(F64="","待填AI应用","待建产品"),IF(COUNTIF('录入字典'!$C$2:$C$200,E64)=0,"AI应用ID无效",IF(F64="","补充AI应用名称",IF(F64&lt;&gt;VLOOKUP(E64,'录入字典'!$C$2:$D$200,2,FALSE),"AI应用名称与ID不一致","可同步")))),IF(COUNTIF('录入字典'!$A$2:$A$200,B64)=0,"场景ID无效",IF(C64&lt;&gt;VLOOKUP(B64,'录入字典'!$A$2:$B$200,2,FALSE),"场景名称与ID不一致",IF(E64="",IF(F64="","待填AI应用","待建产品"),IF(COUNTIF('录入字典'!$C$2:$C$200,E64)=0,"AI应用ID无效",IF(F64="","补充AI应用名称",IF(F64&lt;&gt;VLOOKUP(E64,'录入字典'!$C$2:$D$200,2,FALSE),"AI应用名称与ID不一致","可同步"))))))))</f>
        <v/>
      </c>
    </row>
    <row r="65">
      <c r="A65" s="5" t="inlineStr">
        <is>
          <t>CASE-0064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>
        <f>IF(COUNTA(C65:D65,F65)=0,"",IF(B65="",IF(E65="",IF(F65="","待填AI应用","待建产品"),IF(COUNTIF('录入字典'!$C$2:$C$200,E65)=0,"AI应用ID无效",IF(F65="","补充AI应用名称",IF(F65&lt;&gt;VLOOKUP(E65,'录入字典'!$C$2:$D$200,2,FALSE),"AI应用名称与ID不一致","可同步")))),IF(COUNTIF('录入字典'!$A$2:$A$200,B65)=0,"场景ID无效",IF(C65&lt;&gt;VLOOKUP(B65,'录入字典'!$A$2:$B$200,2,FALSE),"场景名称与ID不一致",IF(E65="",IF(F65="","待填AI应用","待建产品"),IF(COUNTIF('录入字典'!$C$2:$C$200,E65)=0,"AI应用ID无效",IF(F65="","补充AI应用名称",IF(F65&lt;&gt;VLOOKUP(E65,'录入字典'!$C$2:$D$200,2,FALSE),"AI应用名称与ID不一致","可同步"))))))))</f>
        <v/>
      </c>
    </row>
    <row r="66">
      <c r="A66" s="5" t="inlineStr">
        <is>
          <t>CASE-0065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>
        <f>IF(COUNTA(C66:D66,F66)=0,"",IF(B66="",IF(E66="",IF(F66="","待填AI应用","待建产品"),IF(COUNTIF('录入字典'!$C$2:$C$200,E66)=0,"AI应用ID无效",IF(F66="","补充AI应用名称",IF(F66&lt;&gt;VLOOKUP(E66,'录入字典'!$C$2:$D$200,2,FALSE),"AI应用名称与ID不一致","可同步")))),IF(COUNTIF('录入字典'!$A$2:$A$200,B66)=0,"场景ID无效",IF(C66&lt;&gt;VLOOKUP(B66,'录入字典'!$A$2:$B$200,2,FALSE),"场景名称与ID不一致",IF(E66="",IF(F66="","待填AI应用","待建产品"),IF(COUNTIF('录入字典'!$C$2:$C$200,E66)=0,"AI应用ID无效",IF(F66="","补充AI应用名称",IF(F66&lt;&gt;VLOOKUP(E66,'录入字典'!$C$2:$D$200,2,FALSE),"AI应用名称与ID不一致","可同步"))))))))</f>
        <v/>
      </c>
    </row>
    <row r="67">
      <c r="A67" s="5" t="inlineStr">
        <is>
          <t>CASE-0066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>
        <f>IF(COUNTA(C67:D67,F67)=0,"",IF(B67="",IF(E67="",IF(F67="","待填AI应用","待建产品"),IF(COUNTIF('录入字典'!$C$2:$C$200,E67)=0,"AI应用ID无效",IF(F67="","补充AI应用名称",IF(F67&lt;&gt;VLOOKUP(E67,'录入字典'!$C$2:$D$200,2,FALSE),"AI应用名称与ID不一致","可同步")))),IF(COUNTIF('录入字典'!$A$2:$A$200,B67)=0,"场景ID无效",IF(C67&lt;&gt;VLOOKUP(B67,'录入字典'!$A$2:$B$200,2,FALSE),"场景名称与ID不一致",IF(E67="",IF(F67="","待填AI应用","待建产品"),IF(COUNTIF('录入字典'!$C$2:$C$200,E67)=0,"AI应用ID无效",IF(F67="","补充AI应用名称",IF(F67&lt;&gt;VLOOKUP(E67,'录入字典'!$C$2:$D$200,2,FALSE),"AI应用名称与ID不一致","可同步"))))))))</f>
        <v/>
      </c>
    </row>
    <row r="68">
      <c r="A68" s="5" t="inlineStr">
        <is>
          <t>CASE-0067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>
        <f>IF(COUNTA(C68:D68,F68)=0,"",IF(B68="",IF(E68="",IF(F68="","待填AI应用","待建产品"),IF(COUNTIF('录入字典'!$C$2:$C$200,E68)=0,"AI应用ID无效",IF(F68="","补充AI应用名称",IF(F68&lt;&gt;VLOOKUP(E68,'录入字典'!$C$2:$D$200,2,FALSE),"AI应用名称与ID不一致","可同步")))),IF(COUNTIF('录入字典'!$A$2:$A$200,B68)=0,"场景ID无效",IF(C68&lt;&gt;VLOOKUP(B68,'录入字典'!$A$2:$B$200,2,FALSE),"场景名称与ID不一致",IF(E68="",IF(F68="","待填AI应用","待建产品"),IF(COUNTIF('录入字典'!$C$2:$C$200,E68)=0,"AI应用ID无效",IF(F68="","补充AI应用名称",IF(F68&lt;&gt;VLOOKUP(E68,'录入字典'!$C$2:$D$200,2,FALSE),"AI应用名称与ID不一致","可同步"))))))))</f>
        <v/>
      </c>
    </row>
    <row r="69">
      <c r="A69" s="5" t="inlineStr">
        <is>
          <t>CASE-0068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>
        <f>IF(COUNTA(C69:D69,F69)=0,"",IF(B69="",IF(E69="",IF(F69="","待填AI应用","待建产品"),IF(COUNTIF('录入字典'!$C$2:$C$200,E69)=0,"AI应用ID无效",IF(F69="","补充AI应用名称",IF(F69&lt;&gt;VLOOKUP(E69,'录入字典'!$C$2:$D$200,2,FALSE),"AI应用名称与ID不一致","可同步")))),IF(COUNTIF('录入字典'!$A$2:$A$200,B69)=0,"场景ID无效",IF(C69&lt;&gt;VLOOKUP(B69,'录入字典'!$A$2:$B$200,2,FALSE),"场景名称与ID不一致",IF(E69="",IF(F69="","待填AI应用","待建产品"),IF(COUNTIF('录入字典'!$C$2:$C$200,E69)=0,"AI应用ID无效",IF(F69="","补充AI应用名称",IF(F69&lt;&gt;VLOOKUP(E69,'录入字典'!$C$2:$D$200,2,FALSE),"AI应用名称与ID不一致","可同步"))))))))</f>
        <v/>
      </c>
    </row>
    <row r="70">
      <c r="A70" s="5" t="inlineStr">
        <is>
          <t>CASE-0069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>
        <f>IF(COUNTA(C70:D70,F70)=0,"",IF(B70="",IF(E70="",IF(F70="","待填AI应用","待建产品"),IF(COUNTIF('录入字典'!$C$2:$C$200,E70)=0,"AI应用ID无效",IF(F70="","补充AI应用名称",IF(F70&lt;&gt;VLOOKUP(E70,'录入字典'!$C$2:$D$200,2,FALSE),"AI应用名称与ID不一致","可同步")))),IF(COUNTIF('录入字典'!$A$2:$A$200,B70)=0,"场景ID无效",IF(C70&lt;&gt;VLOOKUP(B70,'录入字典'!$A$2:$B$200,2,FALSE),"场景名称与ID不一致",IF(E70="",IF(F70="","待填AI应用","待建产品"),IF(COUNTIF('录入字典'!$C$2:$C$200,E70)=0,"AI应用ID无效",IF(F70="","补充AI应用名称",IF(F70&lt;&gt;VLOOKUP(E70,'录入字典'!$C$2:$D$200,2,FALSE),"AI应用名称与ID不一致","可同步"))))))))</f>
        <v/>
      </c>
    </row>
    <row r="71">
      <c r="A71" s="5" t="inlineStr">
        <is>
          <t>CASE-0070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>
        <f>IF(COUNTA(C71:D71,F71)=0,"",IF(B71="",IF(E71="",IF(F71="","待填AI应用","待建产品"),IF(COUNTIF('录入字典'!$C$2:$C$200,E71)=0,"AI应用ID无效",IF(F71="","补充AI应用名称",IF(F71&lt;&gt;VLOOKUP(E71,'录入字典'!$C$2:$D$200,2,FALSE),"AI应用名称与ID不一致","可同步")))),IF(COUNTIF('录入字典'!$A$2:$A$200,B71)=0,"场景ID无效",IF(C71&lt;&gt;VLOOKUP(B71,'录入字典'!$A$2:$B$200,2,FALSE),"场景名称与ID不一致",IF(E71="",IF(F71="","待填AI应用","待建产品"),IF(COUNTIF('录入字典'!$C$2:$C$200,E71)=0,"AI应用ID无效",IF(F71="","补充AI应用名称",IF(F71&lt;&gt;VLOOKUP(E71,'录入字典'!$C$2:$D$200,2,FALSE),"AI应用名称与ID不一致","可同步"))))))))</f>
        <v/>
      </c>
    </row>
    <row r="72">
      <c r="A72" s="5" t="inlineStr">
        <is>
          <t>CASE-0071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>
        <f>IF(COUNTA(C72:D72,F72)=0,"",IF(B72="",IF(E72="",IF(F72="","待填AI应用","待建产品"),IF(COUNTIF('录入字典'!$C$2:$C$200,E72)=0,"AI应用ID无效",IF(F72="","补充AI应用名称",IF(F72&lt;&gt;VLOOKUP(E72,'录入字典'!$C$2:$D$200,2,FALSE),"AI应用名称与ID不一致","可同步")))),IF(COUNTIF('录入字典'!$A$2:$A$200,B72)=0,"场景ID无效",IF(C72&lt;&gt;VLOOKUP(B72,'录入字典'!$A$2:$B$200,2,FALSE),"场景名称与ID不一致",IF(E72="",IF(F72="","待填AI应用","待建产品"),IF(COUNTIF('录入字典'!$C$2:$C$200,E72)=0,"AI应用ID无效",IF(F72="","补充AI应用名称",IF(F72&lt;&gt;VLOOKUP(E72,'录入字典'!$C$2:$D$200,2,FALSE),"AI应用名称与ID不一致","可同步"))))))))</f>
        <v/>
      </c>
    </row>
    <row r="73">
      <c r="A73" s="5" t="inlineStr">
        <is>
          <t>CASE-0072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>
        <f>IF(COUNTA(C73:D73,F73)=0,"",IF(B73="",IF(E73="",IF(F73="","待填AI应用","待建产品"),IF(COUNTIF('录入字典'!$C$2:$C$200,E73)=0,"AI应用ID无效",IF(F73="","补充AI应用名称",IF(F73&lt;&gt;VLOOKUP(E73,'录入字典'!$C$2:$D$200,2,FALSE),"AI应用名称与ID不一致","可同步")))),IF(COUNTIF('录入字典'!$A$2:$A$200,B73)=0,"场景ID无效",IF(C73&lt;&gt;VLOOKUP(B73,'录入字典'!$A$2:$B$200,2,FALSE),"场景名称与ID不一致",IF(E73="",IF(F73="","待填AI应用","待建产品"),IF(COUNTIF('录入字典'!$C$2:$C$200,E73)=0,"AI应用ID无效",IF(F73="","补充AI应用名称",IF(F73&lt;&gt;VLOOKUP(E73,'录入字典'!$C$2:$D$200,2,FALSE),"AI应用名称与ID不一致","可同步"))))))))</f>
        <v/>
      </c>
    </row>
    <row r="74">
      <c r="A74" s="5" t="inlineStr">
        <is>
          <t>CASE-0073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>
        <f>IF(COUNTA(C74:D74,F74)=0,"",IF(B74="",IF(E74="",IF(F74="","待填AI应用","待建产品"),IF(COUNTIF('录入字典'!$C$2:$C$200,E74)=0,"AI应用ID无效",IF(F74="","补充AI应用名称",IF(F74&lt;&gt;VLOOKUP(E74,'录入字典'!$C$2:$D$200,2,FALSE),"AI应用名称与ID不一致","可同步")))),IF(COUNTIF('录入字典'!$A$2:$A$200,B74)=0,"场景ID无效",IF(C74&lt;&gt;VLOOKUP(B74,'录入字典'!$A$2:$B$200,2,FALSE),"场景名称与ID不一致",IF(E74="",IF(F74="","待填AI应用","待建产品"),IF(COUNTIF('录入字典'!$C$2:$C$200,E74)=0,"AI应用ID无效",IF(F74="","补充AI应用名称",IF(F74&lt;&gt;VLOOKUP(E74,'录入字典'!$C$2:$D$200,2,FALSE),"AI应用名称与ID不一致","可同步"))))))))</f>
        <v/>
      </c>
    </row>
    <row r="75">
      <c r="A75" s="5" t="inlineStr">
        <is>
          <t>CASE-0074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>
        <f>IF(COUNTA(C75:D75,F75)=0,"",IF(B75="",IF(E75="",IF(F75="","待填AI应用","待建产品"),IF(COUNTIF('录入字典'!$C$2:$C$200,E75)=0,"AI应用ID无效",IF(F75="","补充AI应用名称",IF(F75&lt;&gt;VLOOKUP(E75,'录入字典'!$C$2:$D$200,2,FALSE),"AI应用名称与ID不一致","可同步")))),IF(COUNTIF('录入字典'!$A$2:$A$200,B75)=0,"场景ID无效",IF(C75&lt;&gt;VLOOKUP(B75,'录入字典'!$A$2:$B$200,2,FALSE),"场景名称与ID不一致",IF(E75="",IF(F75="","待填AI应用","待建产品"),IF(COUNTIF('录入字典'!$C$2:$C$200,E75)=0,"AI应用ID无效",IF(F75="","补充AI应用名称",IF(F75&lt;&gt;VLOOKUP(E75,'录入字典'!$C$2:$D$200,2,FALSE),"AI应用名称与ID不一致","可同步"))))))))</f>
        <v/>
      </c>
    </row>
    <row r="76">
      <c r="A76" s="5" t="inlineStr">
        <is>
          <t>CASE-0075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>
        <f>IF(COUNTA(C76:D76,F76)=0,"",IF(B76="",IF(E76="",IF(F76="","待填AI应用","待建产品"),IF(COUNTIF('录入字典'!$C$2:$C$200,E76)=0,"AI应用ID无效",IF(F76="","补充AI应用名称",IF(F76&lt;&gt;VLOOKUP(E76,'录入字典'!$C$2:$D$200,2,FALSE),"AI应用名称与ID不一致","可同步")))),IF(COUNTIF('录入字典'!$A$2:$A$200,B76)=0,"场景ID无效",IF(C76&lt;&gt;VLOOKUP(B76,'录入字典'!$A$2:$B$200,2,FALSE),"场景名称与ID不一致",IF(E76="",IF(F76="","待填AI应用","待建产品"),IF(COUNTIF('录入字典'!$C$2:$C$200,E76)=0,"AI应用ID无效",IF(F76="","补充AI应用名称",IF(F76&lt;&gt;VLOOKUP(E76,'录入字典'!$C$2:$D$200,2,FALSE),"AI应用名称与ID不一致","可同步"))))))))</f>
        <v/>
      </c>
    </row>
    <row r="77">
      <c r="A77" s="5" t="inlineStr">
        <is>
          <t>CASE-0076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>
        <f>IF(COUNTA(C77:D77,F77)=0,"",IF(B77="",IF(E77="",IF(F77="","待填AI应用","待建产品"),IF(COUNTIF('录入字典'!$C$2:$C$200,E77)=0,"AI应用ID无效",IF(F77="","补充AI应用名称",IF(F77&lt;&gt;VLOOKUP(E77,'录入字典'!$C$2:$D$200,2,FALSE),"AI应用名称与ID不一致","可同步")))),IF(COUNTIF('录入字典'!$A$2:$A$200,B77)=0,"场景ID无效",IF(C77&lt;&gt;VLOOKUP(B77,'录入字典'!$A$2:$B$200,2,FALSE),"场景名称与ID不一致",IF(E77="",IF(F77="","待填AI应用","待建产品"),IF(COUNTIF('录入字典'!$C$2:$C$200,E77)=0,"AI应用ID无效",IF(F77="","补充AI应用名称",IF(F77&lt;&gt;VLOOKUP(E77,'录入字典'!$C$2:$D$200,2,FALSE),"AI应用名称与ID不一致","可同步"))))))))</f>
        <v/>
      </c>
    </row>
    <row r="78">
      <c r="A78" s="5" t="inlineStr">
        <is>
          <t>CASE-0077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>
        <f>IF(COUNTA(C78:D78,F78)=0,"",IF(B78="",IF(E78="",IF(F78="","待填AI应用","待建产品"),IF(COUNTIF('录入字典'!$C$2:$C$200,E78)=0,"AI应用ID无效",IF(F78="","补充AI应用名称",IF(F78&lt;&gt;VLOOKUP(E78,'录入字典'!$C$2:$D$200,2,FALSE),"AI应用名称与ID不一致","可同步")))),IF(COUNTIF('录入字典'!$A$2:$A$200,B78)=0,"场景ID无效",IF(C78&lt;&gt;VLOOKUP(B78,'录入字典'!$A$2:$B$200,2,FALSE),"场景名称与ID不一致",IF(E78="",IF(F78="","待填AI应用","待建产品"),IF(COUNTIF('录入字典'!$C$2:$C$200,E78)=0,"AI应用ID无效",IF(F78="","补充AI应用名称",IF(F78&lt;&gt;VLOOKUP(E78,'录入字典'!$C$2:$D$200,2,FALSE),"AI应用名称与ID不一致","可同步"))))))))</f>
        <v/>
      </c>
    </row>
    <row r="79">
      <c r="A79" s="5" t="inlineStr">
        <is>
          <t>CASE-0078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>
        <f>IF(COUNTA(C79:D79,F79)=0,"",IF(B79="",IF(E79="",IF(F79="","待填AI应用","待建产品"),IF(COUNTIF('录入字典'!$C$2:$C$200,E79)=0,"AI应用ID无效",IF(F79="","补充AI应用名称",IF(F79&lt;&gt;VLOOKUP(E79,'录入字典'!$C$2:$D$200,2,FALSE),"AI应用名称与ID不一致","可同步")))),IF(COUNTIF('录入字典'!$A$2:$A$200,B79)=0,"场景ID无效",IF(C79&lt;&gt;VLOOKUP(B79,'录入字典'!$A$2:$B$200,2,FALSE),"场景名称与ID不一致",IF(E79="",IF(F79="","待填AI应用","待建产品"),IF(COUNTIF('录入字典'!$C$2:$C$200,E79)=0,"AI应用ID无效",IF(F79="","补充AI应用名称",IF(F79&lt;&gt;VLOOKUP(E79,'录入字典'!$C$2:$D$200,2,FALSE),"AI应用名称与ID不一致","可同步"))))))))</f>
        <v/>
      </c>
    </row>
    <row r="80">
      <c r="A80" s="5" t="inlineStr">
        <is>
          <t>CASE-0079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>
        <f>IF(COUNTA(C80:D80,F80)=0,"",IF(B80="",IF(E80="",IF(F80="","待填AI应用","待建产品"),IF(COUNTIF('录入字典'!$C$2:$C$200,E80)=0,"AI应用ID无效",IF(F80="","补充AI应用名称",IF(F80&lt;&gt;VLOOKUP(E80,'录入字典'!$C$2:$D$200,2,FALSE),"AI应用名称与ID不一致","可同步")))),IF(COUNTIF('录入字典'!$A$2:$A$200,B80)=0,"场景ID无效",IF(C80&lt;&gt;VLOOKUP(B80,'录入字典'!$A$2:$B$200,2,FALSE),"场景名称与ID不一致",IF(E80="",IF(F80="","待填AI应用","待建产品"),IF(COUNTIF('录入字典'!$C$2:$C$200,E80)=0,"AI应用ID无效",IF(F80="","补充AI应用名称",IF(F80&lt;&gt;VLOOKUP(E80,'录入字典'!$C$2:$D$200,2,FALSE),"AI应用名称与ID不一致","可同步"))))))))</f>
        <v/>
      </c>
    </row>
    <row r="81">
      <c r="A81" s="5" t="inlineStr">
        <is>
          <t>CASE-0080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>
        <f>IF(COUNTA(C81:D81,F81)=0,"",IF(B81="",IF(E81="",IF(F81="","待填AI应用","待建产品"),IF(COUNTIF('录入字典'!$C$2:$C$200,E81)=0,"AI应用ID无效",IF(F81="","补充AI应用名称",IF(F81&lt;&gt;VLOOKUP(E81,'录入字典'!$C$2:$D$200,2,FALSE),"AI应用名称与ID不一致","可同步")))),IF(COUNTIF('录入字典'!$A$2:$A$200,B81)=0,"场景ID无效",IF(C81&lt;&gt;VLOOKUP(B81,'录入字典'!$A$2:$B$200,2,FALSE),"场景名称与ID不一致",IF(E81="",IF(F81="","待填AI应用","待建产品"),IF(COUNTIF('录入字典'!$C$2:$C$200,E81)=0,"AI应用ID无效",IF(F81="","补充AI应用名称",IF(F81&lt;&gt;VLOOKUP(E81,'录入字典'!$C$2:$D$200,2,FALSE),"AI应用名称与ID不一致","可同步"))))))))</f>
        <v/>
      </c>
    </row>
    <row r="82">
      <c r="A82" s="5" t="inlineStr">
        <is>
          <t>CASE-0081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>
        <f>IF(COUNTA(C82:D82,F82)=0,"",IF(B82="",IF(E82="",IF(F82="","待填AI应用","待建产品"),IF(COUNTIF('录入字典'!$C$2:$C$200,E82)=0,"AI应用ID无效",IF(F82="","补充AI应用名称",IF(F82&lt;&gt;VLOOKUP(E82,'录入字典'!$C$2:$D$200,2,FALSE),"AI应用名称与ID不一致","可同步")))),IF(COUNTIF('录入字典'!$A$2:$A$200,B82)=0,"场景ID无效",IF(C82&lt;&gt;VLOOKUP(B82,'录入字典'!$A$2:$B$200,2,FALSE),"场景名称与ID不一致",IF(E82="",IF(F82="","待填AI应用","待建产品"),IF(COUNTIF('录入字典'!$C$2:$C$200,E82)=0,"AI应用ID无效",IF(F82="","补充AI应用名称",IF(F82&lt;&gt;VLOOKUP(E82,'录入字典'!$C$2:$D$200,2,FALSE),"AI应用名称与ID不一致","可同步"))))))))</f>
        <v/>
      </c>
    </row>
    <row r="83">
      <c r="A83" s="5" t="inlineStr">
        <is>
          <t>CASE-0082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>
        <f>IF(COUNTA(C83:D83,F83)=0,"",IF(B83="",IF(E83="",IF(F83="","待填AI应用","待建产品"),IF(COUNTIF('录入字典'!$C$2:$C$200,E83)=0,"AI应用ID无效",IF(F83="","补充AI应用名称",IF(F83&lt;&gt;VLOOKUP(E83,'录入字典'!$C$2:$D$200,2,FALSE),"AI应用名称与ID不一致","可同步")))),IF(COUNTIF('录入字典'!$A$2:$A$200,B83)=0,"场景ID无效",IF(C83&lt;&gt;VLOOKUP(B83,'录入字典'!$A$2:$B$200,2,FALSE),"场景名称与ID不一致",IF(E83="",IF(F83="","待填AI应用","待建产品"),IF(COUNTIF('录入字典'!$C$2:$C$200,E83)=0,"AI应用ID无效",IF(F83="","补充AI应用名称",IF(F83&lt;&gt;VLOOKUP(E83,'录入字典'!$C$2:$D$200,2,FALSE),"AI应用名称与ID不一致","可同步"))))))))</f>
        <v/>
      </c>
    </row>
    <row r="84">
      <c r="A84" s="5" t="inlineStr">
        <is>
          <t>CASE-0083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>
        <f>IF(COUNTA(C84:D84,F84)=0,"",IF(B84="",IF(E84="",IF(F84="","待填AI应用","待建产品"),IF(COUNTIF('录入字典'!$C$2:$C$200,E84)=0,"AI应用ID无效",IF(F84="","补充AI应用名称",IF(F84&lt;&gt;VLOOKUP(E84,'录入字典'!$C$2:$D$200,2,FALSE),"AI应用名称与ID不一致","可同步")))),IF(COUNTIF('录入字典'!$A$2:$A$200,B84)=0,"场景ID无效",IF(C84&lt;&gt;VLOOKUP(B84,'录入字典'!$A$2:$B$200,2,FALSE),"场景名称与ID不一致",IF(E84="",IF(F84="","待填AI应用","待建产品"),IF(COUNTIF('录入字典'!$C$2:$C$200,E84)=0,"AI应用ID无效",IF(F84="","补充AI应用名称",IF(F84&lt;&gt;VLOOKUP(E84,'录入字典'!$C$2:$D$200,2,FALSE),"AI应用名称与ID不一致","可同步"))))))))</f>
        <v/>
      </c>
    </row>
    <row r="85">
      <c r="A85" s="5" t="inlineStr">
        <is>
          <t>CASE-0084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>
        <f>IF(COUNTA(C85:D85,F85)=0,"",IF(B85="",IF(E85="",IF(F85="","待填AI应用","待建产品"),IF(COUNTIF('录入字典'!$C$2:$C$200,E85)=0,"AI应用ID无效",IF(F85="","补充AI应用名称",IF(F85&lt;&gt;VLOOKUP(E85,'录入字典'!$C$2:$D$200,2,FALSE),"AI应用名称与ID不一致","可同步")))),IF(COUNTIF('录入字典'!$A$2:$A$200,B85)=0,"场景ID无效",IF(C85&lt;&gt;VLOOKUP(B85,'录入字典'!$A$2:$B$200,2,FALSE),"场景名称与ID不一致",IF(E85="",IF(F85="","待填AI应用","待建产品"),IF(COUNTIF('录入字典'!$C$2:$C$200,E85)=0,"AI应用ID无效",IF(F85="","补充AI应用名称",IF(F85&lt;&gt;VLOOKUP(E85,'录入字典'!$C$2:$D$200,2,FALSE),"AI应用名称与ID不一致","可同步"))))))))</f>
        <v/>
      </c>
    </row>
    <row r="86">
      <c r="A86" s="5" t="inlineStr">
        <is>
          <t>CASE-0085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>
        <f>IF(COUNTA(C86:D86,F86)=0,"",IF(B86="",IF(E86="",IF(F86="","待填AI应用","待建产品"),IF(COUNTIF('录入字典'!$C$2:$C$200,E86)=0,"AI应用ID无效",IF(F86="","补充AI应用名称",IF(F86&lt;&gt;VLOOKUP(E86,'录入字典'!$C$2:$D$200,2,FALSE),"AI应用名称与ID不一致","可同步")))),IF(COUNTIF('录入字典'!$A$2:$A$200,B86)=0,"场景ID无效",IF(C86&lt;&gt;VLOOKUP(B86,'录入字典'!$A$2:$B$200,2,FALSE),"场景名称与ID不一致",IF(E86="",IF(F86="","待填AI应用","待建产品"),IF(COUNTIF('录入字典'!$C$2:$C$200,E86)=0,"AI应用ID无效",IF(F86="","补充AI应用名称",IF(F86&lt;&gt;VLOOKUP(E86,'录入字典'!$C$2:$D$200,2,FALSE),"AI应用名称与ID不一致","可同步"))))))))</f>
        <v/>
      </c>
    </row>
    <row r="87">
      <c r="A87" s="5" t="inlineStr">
        <is>
          <t>CASE-0086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>
        <f>IF(COUNTA(C87:D87,F87)=0,"",IF(B87="",IF(E87="",IF(F87="","待填AI应用","待建产品"),IF(COUNTIF('录入字典'!$C$2:$C$200,E87)=0,"AI应用ID无效",IF(F87="","补充AI应用名称",IF(F87&lt;&gt;VLOOKUP(E87,'录入字典'!$C$2:$D$200,2,FALSE),"AI应用名称与ID不一致","可同步")))),IF(COUNTIF('录入字典'!$A$2:$A$200,B87)=0,"场景ID无效",IF(C87&lt;&gt;VLOOKUP(B87,'录入字典'!$A$2:$B$200,2,FALSE),"场景名称与ID不一致",IF(E87="",IF(F87="","待填AI应用","待建产品"),IF(COUNTIF('录入字典'!$C$2:$C$200,E87)=0,"AI应用ID无效",IF(F87="","补充AI应用名称",IF(F87&lt;&gt;VLOOKUP(E87,'录入字典'!$C$2:$D$200,2,FALSE),"AI应用名称与ID不一致","可同步"))))))))</f>
        <v/>
      </c>
    </row>
    <row r="88">
      <c r="A88" s="5" t="inlineStr">
        <is>
          <t>CASE-0087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>
        <f>IF(COUNTA(C88:D88,F88)=0,"",IF(B88="",IF(E88="",IF(F88="","待填AI应用","待建产品"),IF(COUNTIF('录入字典'!$C$2:$C$200,E88)=0,"AI应用ID无效",IF(F88="","补充AI应用名称",IF(F88&lt;&gt;VLOOKUP(E88,'录入字典'!$C$2:$D$200,2,FALSE),"AI应用名称与ID不一致","可同步")))),IF(COUNTIF('录入字典'!$A$2:$A$200,B88)=0,"场景ID无效",IF(C88&lt;&gt;VLOOKUP(B88,'录入字典'!$A$2:$B$200,2,FALSE),"场景名称与ID不一致",IF(E88="",IF(F88="","待填AI应用","待建产品"),IF(COUNTIF('录入字典'!$C$2:$C$200,E88)=0,"AI应用ID无效",IF(F88="","补充AI应用名称",IF(F88&lt;&gt;VLOOKUP(E88,'录入字典'!$C$2:$D$200,2,FALSE),"AI应用名称与ID不一致","可同步"))))))))</f>
        <v/>
      </c>
    </row>
    <row r="89">
      <c r="A89" s="5" t="inlineStr">
        <is>
          <t>CASE-0088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>
        <f>IF(COUNTA(C89:D89,F89)=0,"",IF(B89="",IF(E89="",IF(F89="","待填AI应用","待建产品"),IF(COUNTIF('录入字典'!$C$2:$C$200,E89)=0,"AI应用ID无效",IF(F89="","补充AI应用名称",IF(F89&lt;&gt;VLOOKUP(E89,'录入字典'!$C$2:$D$200,2,FALSE),"AI应用名称与ID不一致","可同步")))),IF(COUNTIF('录入字典'!$A$2:$A$200,B89)=0,"场景ID无效",IF(C89&lt;&gt;VLOOKUP(B89,'录入字典'!$A$2:$B$200,2,FALSE),"场景名称与ID不一致",IF(E89="",IF(F89="","待填AI应用","待建产品"),IF(COUNTIF('录入字典'!$C$2:$C$200,E89)=0,"AI应用ID无效",IF(F89="","补充AI应用名称",IF(F89&lt;&gt;VLOOKUP(E89,'录入字典'!$C$2:$D$200,2,FALSE),"AI应用名称与ID不一致","可同步"))))))))</f>
        <v/>
      </c>
    </row>
    <row r="90">
      <c r="A90" s="5" t="inlineStr">
        <is>
          <t>CASE-0089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>
        <f>IF(COUNTA(C90:D90,F90)=0,"",IF(B90="",IF(E90="",IF(F90="","待填AI应用","待建产品"),IF(COUNTIF('录入字典'!$C$2:$C$200,E90)=0,"AI应用ID无效",IF(F90="","补充AI应用名称",IF(F90&lt;&gt;VLOOKUP(E90,'录入字典'!$C$2:$D$200,2,FALSE),"AI应用名称与ID不一致","可同步")))),IF(COUNTIF('录入字典'!$A$2:$A$200,B90)=0,"场景ID无效",IF(C90&lt;&gt;VLOOKUP(B90,'录入字典'!$A$2:$B$200,2,FALSE),"场景名称与ID不一致",IF(E90="",IF(F90="","待填AI应用","待建产品"),IF(COUNTIF('录入字典'!$C$2:$C$200,E90)=0,"AI应用ID无效",IF(F90="","补充AI应用名称",IF(F90&lt;&gt;VLOOKUP(E90,'录入字典'!$C$2:$D$200,2,FALSE),"AI应用名称与ID不一致","可同步"))))))))</f>
        <v/>
      </c>
    </row>
    <row r="91">
      <c r="A91" s="5" t="inlineStr">
        <is>
          <t>CASE-0090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>
        <f>IF(COUNTA(C91:D91,F91)=0,"",IF(B91="",IF(E91="",IF(F91="","待填AI应用","待建产品"),IF(COUNTIF('录入字典'!$C$2:$C$200,E91)=0,"AI应用ID无效",IF(F91="","补充AI应用名称",IF(F91&lt;&gt;VLOOKUP(E91,'录入字典'!$C$2:$D$200,2,FALSE),"AI应用名称与ID不一致","可同步")))),IF(COUNTIF('录入字典'!$A$2:$A$200,B91)=0,"场景ID无效",IF(C91&lt;&gt;VLOOKUP(B91,'录入字典'!$A$2:$B$200,2,FALSE),"场景名称与ID不一致",IF(E91="",IF(F91="","待填AI应用","待建产品"),IF(COUNTIF('录入字典'!$C$2:$C$200,E91)=0,"AI应用ID无效",IF(F91="","补充AI应用名称",IF(F91&lt;&gt;VLOOKUP(E91,'录入字典'!$C$2:$D$200,2,FALSE),"AI应用名称与ID不一致","可同步"))))))))</f>
        <v/>
      </c>
    </row>
    <row r="92">
      <c r="A92" s="5" t="inlineStr">
        <is>
          <t>CASE-0091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>
        <f>IF(COUNTA(C92:D92,F92)=0,"",IF(B92="",IF(E92="",IF(F92="","待填AI应用","待建产品"),IF(COUNTIF('录入字典'!$C$2:$C$200,E92)=0,"AI应用ID无效",IF(F92="","补充AI应用名称",IF(F92&lt;&gt;VLOOKUP(E92,'录入字典'!$C$2:$D$200,2,FALSE),"AI应用名称与ID不一致","可同步")))),IF(COUNTIF('录入字典'!$A$2:$A$200,B92)=0,"场景ID无效",IF(C92&lt;&gt;VLOOKUP(B92,'录入字典'!$A$2:$B$200,2,FALSE),"场景名称与ID不一致",IF(E92="",IF(F92="","待填AI应用","待建产品"),IF(COUNTIF('录入字典'!$C$2:$C$200,E92)=0,"AI应用ID无效",IF(F92="","补充AI应用名称",IF(F92&lt;&gt;VLOOKUP(E92,'录入字典'!$C$2:$D$200,2,FALSE),"AI应用名称与ID不一致","可同步"))))))))</f>
        <v/>
      </c>
    </row>
    <row r="93">
      <c r="A93" s="5" t="inlineStr">
        <is>
          <t>CASE-0092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>
        <f>IF(COUNTA(C93:D93,F93)=0,"",IF(B93="",IF(E93="",IF(F93="","待填AI应用","待建产品"),IF(COUNTIF('录入字典'!$C$2:$C$200,E93)=0,"AI应用ID无效",IF(F93="","补充AI应用名称",IF(F93&lt;&gt;VLOOKUP(E93,'录入字典'!$C$2:$D$200,2,FALSE),"AI应用名称与ID不一致","可同步")))),IF(COUNTIF('录入字典'!$A$2:$A$200,B93)=0,"场景ID无效",IF(C93&lt;&gt;VLOOKUP(B93,'录入字典'!$A$2:$B$200,2,FALSE),"场景名称与ID不一致",IF(E93="",IF(F93="","待填AI应用","待建产品"),IF(COUNTIF('录入字典'!$C$2:$C$200,E93)=0,"AI应用ID无效",IF(F93="","补充AI应用名称",IF(F93&lt;&gt;VLOOKUP(E93,'录入字典'!$C$2:$D$200,2,FALSE),"AI应用名称与ID不一致","可同步"))))))))</f>
        <v/>
      </c>
    </row>
    <row r="94">
      <c r="A94" s="5" t="inlineStr">
        <is>
          <t>CASE-0093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>
        <f>IF(COUNTA(C94:D94,F94)=0,"",IF(B94="",IF(E94="",IF(F94="","待填AI应用","待建产品"),IF(COUNTIF('录入字典'!$C$2:$C$200,E94)=0,"AI应用ID无效",IF(F94="","补充AI应用名称",IF(F94&lt;&gt;VLOOKUP(E94,'录入字典'!$C$2:$D$200,2,FALSE),"AI应用名称与ID不一致","可同步")))),IF(COUNTIF('录入字典'!$A$2:$A$200,B94)=0,"场景ID无效",IF(C94&lt;&gt;VLOOKUP(B94,'录入字典'!$A$2:$B$200,2,FALSE),"场景名称与ID不一致",IF(E94="",IF(F94="","待填AI应用","待建产品"),IF(COUNTIF('录入字典'!$C$2:$C$200,E94)=0,"AI应用ID无效",IF(F94="","补充AI应用名称",IF(F94&lt;&gt;VLOOKUP(E94,'录入字典'!$C$2:$D$200,2,FALSE),"AI应用名称与ID不一致","可同步"))))))))</f>
        <v/>
      </c>
    </row>
    <row r="95">
      <c r="A95" s="5" t="inlineStr">
        <is>
          <t>CASE-0094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>
        <f>IF(COUNTA(C95:D95,F95)=0,"",IF(B95="",IF(E95="",IF(F95="","待填AI应用","待建产品"),IF(COUNTIF('录入字典'!$C$2:$C$200,E95)=0,"AI应用ID无效",IF(F95="","补充AI应用名称",IF(F95&lt;&gt;VLOOKUP(E95,'录入字典'!$C$2:$D$200,2,FALSE),"AI应用名称与ID不一致","可同步")))),IF(COUNTIF('录入字典'!$A$2:$A$200,B95)=0,"场景ID无效",IF(C95&lt;&gt;VLOOKUP(B95,'录入字典'!$A$2:$B$200,2,FALSE),"场景名称与ID不一致",IF(E95="",IF(F95="","待填AI应用","待建产品"),IF(COUNTIF('录入字典'!$C$2:$C$200,E95)=0,"AI应用ID无效",IF(F95="","补充AI应用名称",IF(F95&lt;&gt;VLOOKUP(E95,'录入字典'!$C$2:$D$200,2,FALSE),"AI应用名称与ID不一致","可同步"))))))))</f>
        <v/>
      </c>
    </row>
    <row r="96">
      <c r="A96" s="5" t="inlineStr">
        <is>
          <t>CASE-0095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>
        <f>IF(COUNTA(C96:D96,F96)=0,"",IF(B96="",IF(E96="",IF(F96="","待填AI应用","待建产品"),IF(COUNTIF('录入字典'!$C$2:$C$200,E96)=0,"AI应用ID无效",IF(F96="","补充AI应用名称",IF(F96&lt;&gt;VLOOKUP(E96,'录入字典'!$C$2:$D$200,2,FALSE),"AI应用名称与ID不一致","可同步")))),IF(COUNTIF('录入字典'!$A$2:$A$200,B96)=0,"场景ID无效",IF(C96&lt;&gt;VLOOKUP(B96,'录入字典'!$A$2:$B$200,2,FALSE),"场景名称与ID不一致",IF(E96="",IF(F96="","待填AI应用","待建产品"),IF(COUNTIF('录入字典'!$C$2:$C$200,E96)=0,"AI应用ID无效",IF(F96="","补充AI应用名称",IF(F96&lt;&gt;VLOOKUP(E96,'录入字典'!$C$2:$D$200,2,FALSE),"AI应用名称与ID不一致","可同步"))))))))</f>
        <v/>
      </c>
    </row>
    <row r="97">
      <c r="A97" s="5" t="inlineStr">
        <is>
          <t>CASE-0096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>
        <f>IF(COUNTA(C97:D97,F97)=0,"",IF(B97="",IF(E97="",IF(F97="","待填AI应用","待建产品"),IF(COUNTIF('录入字典'!$C$2:$C$200,E97)=0,"AI应用ID无效",IF(F97="","补充AI应用名称",IF(F97&lt;&gt;VLOOKUP(E97,'录入字典'!$C$2:$D$200,2,FALSE),"AI应用名称与ID不一致","可同步")))),IF(COUNTIF('录入字典'!$A$2:$A$200,B97)=0,"场景ID无效",IF(C97&lt;&gt;VLOOKUP(B97,'录入字典'!$A$2:$B$200,2,FALSE),"场景名称与ID不一致",IF(E97="",IF(F97="","待填AI应用","待建产品"),IF(COUNTIF('录入字典'!$C$2:$C$200,E97)=0,"AI应用ID无效",IF(F97="","补充AI应用名称",IF(F97&lt;&gt;VLOOKUP(E97,'录入字典'!$C$2:$D$200,2,FALSE),"AI应用名称与ID不一致","可同步"))))))))</f>
        <v/>
      </c>
    </row>
    <row r="98">
      <c r="A98" s="5" t="inlineStr">
        <is>
          <t>CASE-0097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>
        <f>IF(COUNTA(C98:D98,F98)=0,"",IF(B98="",IF(E98="",IF(F98="","待填AI应用","待建产品"),IF(COUNTIF('录入字典'!$C$2:$C$200,E98)=0,"AI应用ID无效",IF(F98="","补充AI应用名称",IF(F98&lt;&gt;VLOOKUP(E98,'录入字典'!$C$2:$D$200,2,FALSE),"AI应用名称与ID不一致","可同步")))),IF(COUNTIF('录入字典'!$A$2:$A$200,B98)=0,"场景ID无效",IF(C98&lt;&gt;VLOOKUP(B98,'录入字典'!$A$2:$B$200,2,FALSE),"场景名称与ID不一致",IF(E98="",IF(F98="","待填AI应用","待建产品"),IF(COUNTIF('录入字典'!$C$2:$C$200,E98)=0,"AI应用ID无效",IF(F98="","补充AI应用名称",IF(F98&lt;&gt;VLOOKUP(E98,'录入字典'!$C$2:$D$200,2,FALSE),"AI应用名称与ID不一致","可同步"))))))))</f>
        <v/>
      </c>
    </row>
    <row r="99">
      <c r="A99" s="5" t="inlineStr">
        <is>
          <t>CASE-0098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>
        <f>IF(COUNTA(C99:D99,F99)=0,"",IF(B99="",IF(E99="",IF(F99="","待填AI应用","待建产品"),IF(COUNTIF('录入字典'!$C$2:$C$200,E99)=0,"AI应用ID无效",IF(F99="","补充AI应用名称",IF(F99&lt;&gt;VLOOKUP(E99,'录入字典'!$C$2:$D$200,2,FALSE),"AI应用名称与ID不一致","可同步")))),IF(COUNTIF('录入字典'!$A$2:$A$200,B99)=0,"场景ID无效",IF(C99&lt;&gt;VLOOKUP(B99,'录入字典'!$A$2:$B$200,2,FALSE),"场景名称与ID不一致",IF(E99="",IF(F99="","待填AI应用","待建产品"),IF(COUNTIF('录入字典'!$C$2:$C$200,E99)=0,"AI应用ID无效",IF(F99="","补充AI应用名称",IF(F99&lt;&gt;VLOOKUP(E99,'录入字典'!$C$2:$D$200,2,FALSE),"AI应用名称与ID不一致","可同步"))))))))</f>
        <v/>
      </c>
    </row>
    <row r="100">
      <c r="A100" s="5" t="inlineStr">
        <is>
          <t>CASE-0099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>
        <f>IF(COUNTA(C100:D100,F100)=0,"",IF(B100="",IF(E100="",IF(F100="","待填AI应用","待建产品"),IF(COUNTIF('录入字典'!$C$2:$C$200,E100)=0,"AI应用ID无效",IF(F100="","补充AI应用名称",IF(F100&lt;&gt;VLOOKUP(E100,'录入字典'!$C$2:$D$200,2,FALSE),"AI应用名称与ID不一致","可同步")))),IF(COUNTIF('录入字典'!$A$2:$A$200,B100)=0,"场景ID无效",IF(C100&lt;&gt;VLOOKUP(B100,'录入字典'!$A$2:$B$200,2,FALSE),"场景名称与ID不一致",IF(E100="",IF(F100="","待填AI应用","待建产品"),IF(COUNTIF('录入字典'!$C$2:$C$200,E100)=0,"AI应用ID无效",IF(F100="","补充AI应用名称",IF(F100&lt;&gt;VLOOKUP(E100,'录入字典'!$C$2:$D$200,2,FALSE),"AI应用名称与ID不一致","可同步"))))))))</f>
        <v/>
      </c>
    </row>
    <row r="101">
      <c r="A101" s="5" t="inlineStr">
        <is>
          <t>CASE-0100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>
        <f>IF(COUNTA(C101:D101,F101)=0,"",IF(B101="",IF(E101="",IF(F101="","待填AI应用","待建产品"),IF(COUNTIF('录入字典'!$C$2:$C$200,E101)=0,"AI应用ID无效",IF(F101="","补充AI应用名称",IF(F101&lt;&gt;VLOOKUP(E101,'录入字典'!$C$2:$D$200,2,FALSE),"AI应用名称与ID不一致","可同步")))),IF(COUNTIF('录入字典'!$A$2:$A$200,B101)=0,"场景ID无效",IF(C101&lt;&gt;VLOOKUP(B101,'录入字典'!$A$2:$B$200,2,FALSE),"场景名称与ID不一致",IF(E101="",IF(F101="","待填AI应用","待建产品"),IF(COUNTIF('录入字典'!$C$2:$C$200,E101)=0,"AI应用ID无效",IF(F101="","补充AI应用名称",IF(F101&lt;&gt;VLOOKUP(E101,'录入字典'!$C$2:$D$200,2,FALSE),"AI应用名称与ID不一致","可同步"))))))))</f>
        <v/>
      </c>
    </row>
    <row r="102">
      <c r="A102" s="5" t="inlineStr">
        <is>
          <t>CASE-0101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>
        <f>IF(COUNTA(C102:D102,F102)=0,"",IF(B102="",IF(E102="",IF(F102="","待填AI应用","待建产品"),IF(COUNTIF('录入字典'!$C$2:$C$200,E102)=0,"AI应用ID无效",IF(F102="","补充AI应用名称",IF(F102&lt;&gt;VLOOKUP(E102,'录入字典'!$C$2:$D$200,2,FALSE),"AI应用名称与ID不一致","可同步")))),IF(COUNTIF('录入字典'!$A$2:$A$200,B102)=0,"场景ID无效",IF(C102&lt;&gt;VLOOKUP(B102,'录入字典'!$A$2:$B$200,2,FALSE),"场景名称与ID不一致",IF(E102="",IF(F102="","待填AI应用","待建产品"),IF(COUNTIF('录入字典'!$C$2:$C$200,E102)=0,"AI应用ID无效",IF(F102="","补充AI应用名称",IF(F102&lt;&gt;VLOOKUP(E102,'录入字典'!$C$2:$D$200,2,FALSE),"AI应用名称与ID不一致","可同步"))))))))</f>
        <v/>
      </c>
    </row>
    <row r="103">
      <c r="A103" s="5" t="inlineStr">
        <is>
          <t>CASE-0102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>
        <f>IF(COUNTA(C103:D103,F103)=0,"",IF(B103="",IF(E103="",IF(F103="","待填AI应用","待建产品"),IF(COUNTIF('录入字典'!$C$2:$C$200,E103)=0,"AI应用ID无效",IF(F103="","补充AI应用名称",IF(F103&lt;&gt;VLOOKUP(E103,'录入字典'!$C$2:$D$200,2,FALSE),"AI应用名称与ID不一致","可同步")))),IF(COUNTIF('录入字典'!$A$2:$A$200,B103)=0,"场景ID无效",IF(C103&lt;&gt;VLOOKUP(B103,'录入字典'!$A$2:$B$200,2,FALSE),"场景名称与ID不一致",IF(E103="",IF(F103="","待填AI应用","待建产品"),IF(COUNTIF('录入字典'!$C$2:$C$200,E103)=0,"AI应用ID无效",IF(F103="","补充AI应用名称",IF(F103&lt;&gt;VLOOKUP(E103,'录入字典'!$C$2:$D$200,2,FALSE),"AI应用名称与ID不一致","可同步"))))))))</f>
        <v/>
      </c>
    </row>
    <row r="104">
      <c r="A104" s="5" t="inlineStr">
        <is>
          <t>CASE-0103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>
        <f>IF(COUNTA(C104:D104,F104)=0,"",IF(B104="",IF(E104="",IF(F104="","待填AI应用","待建产品"),IF(COUNTIF('录入字典'!$C$2:$C$200,E104)=0,"AI应用ID无效",IF(F104="","补充AI应用名称",IF(F104&lt;&gt;VLOOKUP(E104,'录入字典'!$C$2:$D$200,2,FALSE),"AI应用名称与ID不一致","可同步")))),IF(COUNTIF('录入字典'!$A$2:$A$200,B104)=0,"场景ID无效",IF(C104&lt;&gt;VLOOKUP(B104,'录入字典'!$A$2:$B$200,2,FALSE),"场景名称与ID不一致",IF(E104="",IF(F104="","待填AI应用","待建产品"),IF(COUNTIF('录入字典'!$C$2:$C$200,E104)=0,"AI应用ID无效",IF(F104="","补充AI应用名称",IF(F104&lt;&gt;VLOOKUP(E104,'录入字典'!$C$2:$D$200,2,FALSE),"AI应用名称与ID不一致","可同步"))))))))</f>
        <v/>
      </c>
    </row>
    <row r="105">
      <c r="A105" s="5" t="inlineStr">
        <is>
          <t>CASE-0104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>
        <f>IF(COUNTA(C105:D105,F105)=0,"",IF(B105="",IF(E105="",IF(F105="","待填AI应用","待建产品"),IF(COUNTIF('录入字典'!$C$2:$C$200,E105)=0,"AI应用ID无效",IF(F105="","补充AI应用名称",IF(F105&lt;&gt;VLOOKUP(E105,'录入字典'!$C$2:$D$200,2,FALSE),"AI应用名称与ID不一致","可同步")))),IF(COUNTIF('录入字典'!$A$2:$A$200,B105)=0,"场景ID无效",IF(C105&lt;&gt;VLOOKUP(B105,'录入字典'!$A$2:$B$200,2,FALSE),"场景名称与ID不一致",IF(E105="",IF(F105="","待填AI应用","待建产品"),IF(COUNTIF('录入字典'!$C$2:$C$200,E105)=0,"AI应用ID无效",IF(F105="","补充AI应用名称",IF(F105&lt;&gt;VLOOKUP(E105,'录入字典'!$C$2:$D$200,2,FALSE),"AI应用名称与ID不一致","可同步"))))))))</f>
        <v/>
      </c>
    </row>
    <row r="106">
      <c r="A106" s="5" t="inlineStr">
        <is>
          <t>CASE-0105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>
        <f>IF(COUNTA(C106:D106,F106)=0,"",IF(B106="",IF(E106="",IF(F106="","待填AI应用","待建产品"),IF(COUNTIF('录入字典'!$C$2:$C$200,E106)=0,"AI应用ID无效",IF(F106="","补充AI应用名称",IF(F106&lt;&gt;VLOOKUP(E106,'录入字典'!$C$2:$D$200,2,FALSE),"AI应用名称与ID不一致","可同步")))),IF(COUNTIF('录入字典'!$A$2:$A$200,B106)=0,"场景ID无效",IF(C106&lt;&gt;VLOOKUP(B106,'录入字典'!$A$2:$B$200,2,FALSE),"场景名称与ID不一致",IF(E106="",IF(F106="","待填AI应用","待建产品"),IF(COUNTIF('录入字典'!$C$2:$C$200,E106)=0,"AI应用ID无效",IF(F106="","补充AI应用名称",IF(F106&lt;&gt;VLOOKUP(E106,'录入字典'!$C$2:$D$200,2,FALSE),"AI应用名称与ID不一致","可同步"))))))))</f>
        <v/>
      </c>
    </row>
    <row r="107">
      <c r="A107" s="5" t="inlineStr">
        <is>
          <t>CASE-0106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>
        <f>IF(COUNTA(C107:D107,F107)=0,"",IF(B107="",IF(E107="",IF(F107="","待填AI应用","待建产品"),IF(COUNTIF('录入字典'!$C$2:$C$200,E107)=0,"AI应用ID无效",IF(F107="","补充AI应用名称",IF(F107&lt;&gt;VLOOKUP(E107,'录入字典'!$C$2:$D$200,2,FALSE),"AI应用名称与ID不一致","可同步")))),IF(COUNTIF('录入字典'!$A$2:$A$200,B107)=0,"场景ID无效",IF(C107&lt;&gt;VLOOKUP(B107,'录入字典'!$A$2:$B$200,2,FALSE),"场景名称与ID不一致",IF(E107="",IF(F107="","待填AI应用","待建产品"),IF(COUNTIF('录入字典'!$C$2:$C$200,E107)=0,"AI应用ID无效",IF(F107="","补充AI应用名称",IF(F107&lt;&gt;VLOOKUP(E107,'录入字典'!$C$2:$D$200,2,FALSE),"AI应用名称与ID不一致","可同步"))))))))</f>
        <v/>
      </c>
    </row>
    <row r="108">
      <c r="A108" s="5" t="inlineStr">
        <is>
          <t>CASE-0107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>
        <f>IF(COUNTA(C108:D108,F108)=0,"",IF(B108="",IF(E108="",IF(F108="","待填AI应用","待建产品"),IF(COUNTIF('录入字典'!$C$2:$C$200,E108)=0,"AI应用ID无效",IF(F108="","补充AI应用名称",IF(F108&lt;&gt;VLOOKUP(E108,'录入字典'!$C$2:$D$200,2,FALSE),"AI应用名称与ID不一致","可同步")))),IF(COUNTIF('录入字典'!$A$2:$A$200,B108)=0,"场景ID无效",IF(C108&lt;&gt;VLOOKUP(B108,'录入字典'!$A$2:$B$200,2,FALSE),"场景名称与ID不一致",IF(E108="",IF(F108="","待填AI应用","待建产品"),IF(COUNTIF('录入字典'!$C$2:$C$200,E108)=0,"AI应用ID无效",IF(F108="","补充AI应用名称",IF(F108&lt;&gt;VLOOKUP(E108,'录入字典'!$C$2:$D$200,2,FALSE),"AI应用名称与ID不一致","可同步"))))))))</f>
        <v/>
      </c>
    </row>
    <row r="109">
      <c r="A109" s="5" t="inlineStr">
        <is>
          <t>CASE-0108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>
        <f>IF(COUNTA(C109:D109,F109)=0,"",IF(B109="",IF(E109="",IF(F109="","待填AI应用","待建产品"),IF(COUNTIF('录入字典'!$C$2:$C$200,E109)=0,"AI应用ID无效",IF(F109="","补充AI应用名称",IF(F109&lt;&gt;VLOOKUP(E109,'录入字典'!$C$2:$D$200,2,FALSE),"AI应用名称与ID不一致","可同步")))),IF(COUNTIF('录入字典'!$A$2:$A$200,B109)=0,"场景ID无效",IF(C109&lt;&gt;VLOOKUP(B109,'录入字典'!$A$2:$B$200,2,FALSE),"场景名称与ID不一致",IF(E109="",IF(F109="","待填AI应用","待建产品"),IF(COUNTIF('录入字典'!$C$2:$C$200,E109)=0,"AI应用ID无效",IF(F109="","补充AI应用名称",IF(F109&lt;&gt;VLOOKUP(E109,'录入字典'!$C$2:$D$200,2,FALSE),"AI应用名称与ID不一致","可同步"))))))))</f>
        <v/>
      </c>
    </row>
    <row r="110">
      <c r="A110" s="5" t="inlineStr">
        <is>
          <t>CASE-0109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>
        <f>IF(COUNTA(C110:D110,F110)=0,"",IF(B110="",IF(E110="",IF(F110="","待填AI应用","待建产品"),IF(COUNTIF('录入字典'!$C$2:$C$200,E110)=0,"AI应用ID无效",IF(F110="","补充AI应用名称",IF(F110&lt;&gt;VLOOKUP(E110,'录入字典'!$C$2:$D$200,2,FALSE),"AI应用名称与ID不一致","可同步")))),IF(COUNTIF('录入字典'!$A$2:$A$200,B110)=0,"场景ID无效",IF(C110&lt;&gt;VLOOKUP(B110,'录入字典'!$A$2:$B$200,2,FALSE),"场景名称与ID不一致",IF(E110="",IF(F110="","待填AI应用","待建产品"),IF(COUNTIF('录入字典'!$C$2:$C$200,E110)=0,"AI应用ID无效",IF(F110="","补充AI应用名称",IF(F110&lt;&gt;VLOOKUP(E110,'录入字典'!$C$2:$D$200,2,FALSE),"AI应用名称与ID不一致","可同步"))))))))</f>
        <v/>
      </c>
    </row>
    <row r="111">
      <c r="A111" s="5" t="inlineStr">
        <is>
          <t>CASE-0110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>
        <f>IF(COUNTA(C111:D111,F111)=0,"",IF(B111="",IF(E111="",IF(F111="","待填AI应用","待建产品"),IF(COUNTIF('录入字典'!$C$2:$C$200,E111)=0,"AI应用ID无效",IF(F111="","补充AI应用名称",IF(F111&lt;&gt;VLOOKUP(E111,'录入字典'!$C$2:$D$200,2,FALSE),"AI应用名称与ID不一致","可同步")))),IF(COUNTIF('录入字典'!$A$2:$A$200,B111)=0,"场景ID无效",IF(C111&lt;&gt;VLOOKUP(B111,'录入字典'!$A$2:$B$200,2,FALSE),"场景名称与ID不一致",IF(E111="",IF(F111="","待填AI应用","待建产品"),IF(COUNTIF('录入字典'!$C$2:$C$200,E111)=0,"AI应用ID无效",IF(F111="","补充AI应用名称",IF(F111&lt;&gt;VLOOKUP(E111,'录入字典'!$C$2:$D$200,2,FALSE),"AI应用名称与ID不一致","可同步"))))))))</f>
        <v/>
      </c>
    </row>
    <row r="112">
      <c r="A112" s="5" t="inlineStr">
        <is>
          <t>CASE-0111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>
        <f>IF(COUNTA(C112:D112,F112)=0,"",IF(B112="",IF(E112="",IF(F112="","待填AI应用","待建产品"),IF(COUNTIF('录入字典'!$C$2:$C$200,E112)=0,"AI应用ID无效",IF(F112="","补充AI应用名称",IF(F112&lt;&gt;VLOOKUP(E112,'录入字典'!$C$2:$D$200,2,FALSE),"AI应用名称与ID不一致","可同步")))),IF(COUNTIF('录入字典'!$A$2:$A$200,B112)=0,"场景ID无效",IF(C112&lt;&gt;VLOOKUP(B112,'录入字典'!$A$2:$B$200,2,FALSE),"场景名称与ID不一致",IF(E112="",IF(F112="","待填AI应用","待建产品"),IF(COUNTIF('录入字典'!$C$2:$C$200,E112)=0,"AI应用ID无效",IF(F112="","补充AI应用名称",IF(F112&lt;&gt;VLOOKUP(E112,'录入字典'!$C$2:$D$200,2,FALSE),"AI应用名称与ID不一致","可同步"))))))))</f>
        <v/>
      </c>
    </row>
    <row r="113">
      <c r="A113" s="5" t="inlineStr">
        <is>
          <t>CASE-0112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>
        <f>IF(COUNTA(C113:D113,F113)=0,"",IF(B113="",IF(E113="",IF(F113="","待填AI应用","待建产品"),IF(COUNTIF('录入字典'!$C$2:$C$200,E113)=0,"AI应用ID无效",IF(F113="","补充AI应用名称",IF(F113&lt;&gt;VLOOKUP(E113,'录入字典'!$C$2:$D$200,2,FALSE),"AI应用名称与ID不一致","可同步")))),IF(COUNTIF('录入字典'!$A$2:$A$200,B113)=0,"场景ID无效",IF(C113&lt;&gt;VLOOKUP(B113,'录入字典'!$A$2:$B$200,2,FALSE),"场景名称与ID不一致",IF(E113="",IF(F113="","待填AI应用","待建产品"),IF(COUNTIF('录入字典'!$C$2:$C$200,E113)=0,"AI应用ID无效",IF(F113="","补充AI应用名称",IF(F113&lt;&gt;VLOOKUP(E113,'录入字典'!$C$2:$D$200,2,FALSE),"AI应用名称与ID不一致","可同步"))))))))</f>
        <v/>
      </c>
    </row>
    <row r="114">
      <c r="A114" s="5" t="inlineStr">
        <is>
          <t>CASE-0113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>
        <f>IF(COUNTA(C114:D114,F114)=0,"",IF(B114="",IF(E114="",IF(F114="","待填AI应用","待建产品"),IF(COUNTIF('录入字典'!$C$2:$C$200,E114)=0,"AI应用ID无效",IF(F114="","补充AI应用名称",IF(F114&lt;&gt;VLOOKUP(E114,'录入字典'!$C$2:$D$200,2,FALSE),"AI应用名称与ID不一致","可同步")))),IF(COUNTIF('录入字典'!$A$2:$A$200,B114)=0,"场景ID无效",IF(C114&lt;&gt;VLOOKUP(B114,'录入字典'!$A$2:$B$200,2,FALSE),"场景名称与ID不一致",IF(E114="",IF(F114="","待填AI应用","待建产品"),IF(COUNTIF('录入字典'!$C$2:$C$200,E114)=0,"AI应用ID无效",IF(F114="","补充AI应用名称",IF(F114&lt;&gt;VLOOKUP(E114,'录入字典'!$C$2:$D$200,2,FALSE),"AI应用名称与ID不一致","可同步"))))))))</f>
        <v/>
      </c>
    </row>
    <row r="115">
      <c r="A115" s="5" t="inlineStr">
        <is>
          <t>CASE-0114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>
        <f>IF(COUNTA(C115:D115,F115)=0,"",IF(B115="",IF(E115="",IF(F115="","待填AI应用","待建产品"),IF(COUNTIF('录入字典'!$C$2:$C$200,E115)=0,"AI应用ID无效",IF(F115="","补充AI应用名称",IF(F115&lt;&gt;VLOOKUP(E115,'录入字典'!$C$2:$D$200,2,FALSE),"AI应用名称与ID不一致","可同步")))),IF(COUNTIF('录入字典'!$A$2:$A$200,B115)=0,"场景ID无效",IF(C115&lt;&gt;VLOOKUP(B115,'录入字典'!$A$2:$B$200,2,FALSE),"场景名称与ID不一致",IF(E115="",IF(F115="","待填AI应用","待建产品"),IF(COUNTIF('录入字典'!$C$2:$C$200,E115)=0,"AI应用ID无效",IF(F115="","补充AI应用名称",IF(F115&lt;&gt;VLOOKUP(E115,'录入字典'!$C$2:$D$200,2,FALSE),"AI应用名称与ID不一致","可同步"))))))))</f>
        <v/>
      </c>
    </row>
    <row r="116">
      <c r="A116" s="5" t="inlineStr">
        <is>
          <t>CASE-0115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>
        <f>IF(COUNTA(C116:D116,F116)=0,"",IF(B116="",IF(E116="",IF(F116="","待填AI应用","待建产品"),IF(COUNTIF('录入字典'!$C$2:$C$200,E116)=0,"AI应用ID无效",IF(F116="","补充AI应用名称",IF(F116&lt;&gt;VLOOKUP(E116,'录入字典'!$C$2:$D$200,2,FALSE),"AI应用名称与ID不一致","可同步")))),IF(COUNTIF('录入字典'!$A$2:$A$200,B116)=0,"场景ID无效",IF(C116&lt;&gt;VLOOKUP(B116,'录入字典'!$A$2:$B$200,2,FALSE),"场景名称与ID不一致",IF(E116="",IF(F116="","待填AI应用","待建产品"),IF(COUNTIF('录入字典'!$C$2:$C$200,E116)=0,"AI应用ID无效",IF(F116="","补充AI应用名称",IF(F116&lt;&gt;VLOOKUP(E116,'录入字典'!$C$2:$D$200,2,FALSE),"AI应用名称与ID不一致","可同步"))))))))</f>
        <v/>
      </c>
    </row>
    <row r="117">
      <c r="A117" s="5" t="inlineStr">
        <is>
          <t>CASE-0116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>
        <f>IF(COUNTA(C117:D117,F117)=0,"",IF(B117="",IF(E117="",IF(F117="","待填AI应用","待建产品"),IF(COUNTIF('录入字典'!$C$2:$C$200,E117)=0,"AI应用ID无效",IF(F117="","补充AI应用名称",IF(F117&lt;&gt;VLOOKUP(E117,'录入字典'!$C$2:$D$200,2,FALSE),"AI应用名称与ID不一致","可同步")))),IF(COUNTIF('录入字典'!$A$2:$A$200,B117)=0,"场景ID无效",IF(C117&lt;&gt;VLOOKUP(B117,'录入字典'!$A$2:$B$200,2,FALSE),"场景名称与ID不一致",IF(E117="",IF(F117="","待填AI应用","待建产品"),IF(COUNTIF('录入字典'!$C$2:$C$200,E117)=0,"AI应用ID无效",IF(F117="","补充AI应用名称",IF(F117&lt;&gt;VLOOKUP(E117,'录入字典'!$C$2:$D$200,2,FALSE),"AI应用名称与ID不一致","可同步"))))))))</f>
        <v/>
      </c>
    </row>
    <row r="118">
      <c r="A118" s="5" t="inlineStr">
        <is>
          <t>CASE-0117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>
        <f>IF(COUNTA(C118:D118,F118)=0,"",IF(B118="",IF(E118="",IF(F118="","待填AI应用","待建产品"),IF(COUNTIF('录入字典'!$C$2:$C$200,E118)=0,"AI应用ID无效",IF(F118="","补充AI应用名称",IF(F118&lt;&gt;VLOOKUP(E118,'录入字典'!$C$2:$D$200,2,FALSE),"AI应用名称与ID不一致","可同步")))),IF(COUNTIF('录入字典'!$A$2:$A$200,B118)=0,"场景ID无效",IF(C118&lt;&gt;VLOOKUP(B118,'录入字典'!$A$2:$B$200,2,FALSE),"场景名称与ID不一致",IF(E118="",IF(F118="","待填AI应用","待建产品"),IF(COUNTIF('录入字典'!$C$2:$C$200,E118)=0,"AI应用ID无效",IF(F118="","补充AI应用名称",IF(F118&lt;&gt;VLOOKUP(E118,'录入字典'!$C$2:$D$200,2,FALSE),"AI应用名称与ID不一致","可同步"))))))))</f>
        <v/>
      </c>
    </row>
    <row r="119">
      <c r="A119" s="5" t="inlineStr">
        <is>
          <t>CASE-0118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>
        <f>IF(COUNTA(C119:D119,F119)=0,"",IF(B119="",IF(E119="",IF(F119="","待填AI应用","待建产品"),IF(COUNTIF('录入字典'!$C$2:$C$200,E119)=0,"AI应用ID无效",IF(F119="","补充AI应用名称",IF(F119&lt;&gt;VLOOKUP(E119,'录入字典'!$C$2:$D$200,2,FALSE),"AI应用名称与ID不一致","可同步")))),IF(COUNTIF('录入字典'!$A$2:$A$200,B119)=0,"场景ID无效",IF(C119&lt;&gt;VLOOKUP(B119,'录入字典'!$A$2:$B$200,2,FALSE),"场景名称与ID不一致",IF(E119="",IF(F119="","待填AI应用","待建产品"),IF(COUNTIF('录入字典'!$C$2:$C$200,E119)=0,"AI应用ID无效",IF(F119="","补充AI应用名称",IF(F119&lt;&gt;VLOOKUP(E119,'录入字典'!$C$2:$D$200,2,FALSE),"AI应用名称与ID不一致","可同步"))))))))</f>
        <v/>
      </c>
    </row>
    <row r="120">
      <c r="A120" s="5" t="inlineStr">
        <is>
          <t>CASE-0119</t>
        </is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>
        <f>IF(COUNTA(C120:D120,F120)=0,"",IF(B120="",IF(E120="",IF(F120="","待填AI应用","待建产品"),IF(COUNTIF('录入字典'!$C$2:$C$200,E120)=0,"AI应用ID无效",IF(F120="","补充AI应用名称",IF(F120&lt;&gt;VLOOKUP(E120,'录入字典'!$C$2:$D$200,2,FALSE),"AI应用名称与ID不一致","可同步")))),IF(COUNTIF('录入字典'!$A$2:$A$200,B120)=0,"场景ID无效",IF(C120&lt;&gt;VLOOKUP(B120,'录入字典'!$A$2:$B$200,2,FALSE),"场景名称与ID不一致",IF(E120="",IF(F120="","待填AI应用","待建产品"),IF(COUNTIF('录入字典'!$C$2:$C$200,E120)=0,"AI应用ID无效",IF(F120="","补充AI应用名称",IF(F120&lt;&gt;VLOOKUP(E120,'录入字典'!$C$2:$D$200,2,FALSE),"AI应用名称与ID不一致","可同步"))))))))</f>
        <v/>
      </c>
    </row>
    <row r="121">
      <c r="A121" s="5" t="inlineStr">
        <is>
          <t>CASE-0120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>
        <f>IF(COUNTA(C121:D121,F121)=0,"",IF(B121="",IF(E121="",IF(F121="","待填AI应用","待建产品"),IF(COUNTIF('录入字典'!$C$2:$C$200,E121)=0,"AI应用ID无效",IF(F121="","补充AI应用名称",IF(F121&lt;&gt;VLOOKUP(E121,'录入字典'!$C$2:$D$200,2,FALSE),"AI应用名称与ID不一致","可同步")))),IF(COUNTIF('录入字典'!$A$2:$A$200,B121)=0,"场景ID无效",IF(C121&lt;&gt;VLOOKUP(B121,'录入字典'!$A$2:$B$200,2,FALSE),"场景名称与ID不一致",IF(E121="",IF(F121="","待填AI应用","待建产品"),IF(COUNTIF('录入字典'!$C$2:$C$200,E121)=0,"AI应用ID无效",IF(F121="","补充AI应用名称",IF(F121&lt;&gt;VLOOKUP(E121,'录入字典'!$C$2:$D$200,2,FALSE),"AI应用名称与ID不一致","可同步"))))))))</f>
        <v/>
      </c>
    </row>
    <row r="122">
      <c r="A122" s="5" t="inlineStr">
        <is>
          <t>CASE-0121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>
        <f>IF(COUNTA(C122:D122,F122)=0,"",IF(B122="",IF(E122="",IF(F122="","待填AI应用","待建产品"),IF(COUNTIF('录入字典'!$C$2:$C$200,E122)=0,"AI应用ID无效",IF(F122="","补充AI应用名称",IF(F122&lt;&gt;VLOOKUP(E122,'录入字典'!$C$2:$D$200,2,FALSE),"AI应用名称与ID不一致","可同步")))),IF(COUNTIF('录入字典'!$A$2:$A$200,B122)=0,"场景ID无效",IF(C122&lt;&gt;VLOOKUP(B122,'录入字典'!$A$2:$B$200,2,FALSE),"场景名称与ID不一致",IF(E122="",IF(F122="","待填AI应用","待建产品"),IF(COUNTIF('录入字典'!$C$2:$C$200,E122)=0,"AI应用ID无效",IF(F122="","补充AI应用名称",IF(F122&lt;&gt;VLOOKUP(E122,'录入字典'!$C$2:$D$200,2,FALSE),"AI应用名称与ID不一致","可同步"))))))))</f>
        <v/>
      </c>
    </row>
    <row r="123">
      <c r="A123" s="5" t="inlineStr">
        <is>
          <t>CASE-0122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>
        <f>IF(COUNTA(C123:D123,F123)=0,"",IF(B123="",IF(E123="",IF(F123="","待填AI应用","待建产品"),IF(COUNTIF('录入字典'!$C$2:$C$200,E123)=0,"AI应用ID无效",IF(F123="","补充AI应用名称",IF(F123&lt;&gt;VLOOKUP(E123,'录入字典'!$C$2:$D$200,2,FALSE),"AI应用名称与ID不一致","可同步")))),IF(COUNTIF('录入字典'!$A$2:$A$200,B123)=0,"场景ID无效",IF(C123&lt;&gt;VLOOKUP(B123,'录入字典'!$A$2:$B$200,2,FALSE),"场景名称与ID不一致",IF(E123="",IF(F123="","待填AI应用","待建产品"),IF(COUNTIF('录入字典'!$C$2:$C$200,E123)=0,"AI应用ID无效",IF(F123="","补充AI应用名称",IF(F123&lt;&gt;VLOOKUP(E123,'录入字典'!$C$2:$D$200,2,FALSE),"AI应用名称与ID不一致","可同步"))))))))</f>
        <v/>
      </c>
    </row>
    <row r="124">
      <c r="A124" s="5" t="inlineStr">
        <is>
          <t>CASE-0123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>
        <f>IF(COUNTA(C124:D124,F124)=0,"",IF(B124="",IF(E124="",IF(F124="","待填AI应用","待建产品"),IF(COUNTIF('录入字典'!$C$2:$C$200,E124)=0,"AI应用ID无效",IF(F124="","补充AI应用名称",IF(F124&lt;&gt;VLOOKUP(E124,'录入字典'!$C$2:$D$200,2,FALSE),"AI应用名称与ID不一致","可同步")))),IF(COUNTIF('录入字典'!$A$2:$A$200,B124)=0,"场景ID无效",IF(C124&lt;&gt;VLOOKUP(B124,'录入字典'!$A$2:$B$200,2,FALSE),"场景名称与ID不一致",IF(E124="",IF(F124="","待填AI应用","待建产品"),IF(COUNTIF('录入字典'!$C$2:$C$200,E124)=0,"AI应用ID无效",IF(F124="","补充AI应用名称",IF(F124&lt;&gt;VLOOKUP(E124,'录入字典'!$C$2:$D$200,2,FALSE),"AI应用名称与ID不一致","可同步"))))))))</f>
        <v/>
      </c>
    </row>
    <row r="125">
      <c r="A125" s="5" t="inlineStr">
        <is>
          <t>CASE-0124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>
        <f>IF(COUNTA(C125:D125,F125)=0,"",IF(B125="",IF(E125="",IF(F125="","待填AI应用","待建产品"),IF(COUNTIF('录入字典'!$C$2:$C$200,E125)=0,"AI应用ID无效",IF(F125="","补充AI应用名称",IF(F125&lt;&gt;VLOOKUP(E125,'录入字典'!$C$2:$D$200,2,FALSE),"AI应用名称与ID不一致","可同步")))),IF(COUNTIF('录入字典'!$A$2:$A$200,B125)=0,"场景ID无效",IF(C125&lt;&gt;VLOOKUP(B125,'录入字典'!$A$2:$B$200,2,FALSE),"场景名称与ID不一致",IF(E125="",IF(F125="","待填AI应用","待建产品"),IF(COUNTIF('录入字典'!$C$2:$C$200,E125)=0,"AI应用ID无效",IF(F125="","补充AI应用名称",IF(F125&lt;&gt;VLOOKUP(E125,'录入字典'!$C$2:$D$200,2,FALSE),"AI应用名称与ID不一致","可同步"))))))))</f>
        <v/>
      </c>
    </row>
    <row r="126">
      <c r="A126" s="5" t="inlineStr">
        <is>
          <t>CASE-0125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>
        <f>IF(COUNTA(C126:D126,F126)=0,"",IF(B126="",IF(E126="",IF(F126="","待填AI应用","待建产品"),IF(COUNTIF('录入字典'!$C$2:$C$200,E126)=0,"AI应用ID无效",IF(F126="","补充AI应用名称",IF(F126&lt;&gt;VLOOKUP(E126,'录入字典'!$C$2:$D$200,2,FALSE),"AI应用名称与ID不一致","可同步")))),IF(COUNTIF('录入字典'!$A$2:$A$200,B126)=0,"场景ID无效",IF(C126&lt;&gt;VLOOKUP(B126,'录入字典'!$A$2:$B$200,2,FALSE),"场景名称与ID不一致",IF(E126="",IF(F126="","待填AI应用","待建产品"),IF(COUNTIF('录入字典'!$C$2:$C$200,E126)=0,"AI应用ID无效",IF(F126="","补充AI应用名称",IF(F126&lt;&gt;VLOOKUP(E126,'录入字典'!$C$2:$D$200,2,FALSE),"AI应用名称与ID不一致","可同步"))))))))</f>
        <v/>
      </c>
    </row>
    <row r="127">
      <c r="A127" s="5" t="inlineStr">
        <is>
          <t>CASE-0126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>
        <f>IF(COUNTA(C127:D127,F127)=0,"",IF(B127="",IF(E127="",IF(F127="","待填AI应用","待建产品"),IF(COUNTIF('录入字典'!$C$2:$C$200,E127)=0,"AI应用ID无效",IF(F127="","补充AI应用名称",IF(F127&lt;&gt;VLOOKUP(E127,'录入字典'!$C$2:$D$200,2,FALSE),"AI应用名称与ID不一致","可同步")))),IF(COUNTIF('录入字典'!$A$2:$A$200,B127)=0,"场景ID无效",IF(C127&lt;&gt;VLOOKUP(B127,'录入字典'!$A$2:$B$200,2,FALSE),"场景名称与ID不一致",IF(E127="",IF(F127="","待填AI应用","待建产品"),IF(COUNTIF('录入字典'!$C$2:$C$200,E127)=0,"AI应用ID无效",IF(F127="","补充AI应用名称",IF(F127&lt;&gt;VLOOKUP(E127,'录入字典'!$C$2:$D$200,2,FALSE),"AI应用名称与ID不一致","可同步"))))))))</f>
        <v/>
      </c>
    </row>
    <row r="128">
      <c r="A128" s="5" t="inlineStr">
        <is>
          <t>CASE-0127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>
        <f>IF(COUNTA(C128:D128,F128)=0,"",IF(B128="",IF(E128="",IF(F128="","待填AI应用","待建产品"),IF(COUNTIF('录入字典'!$C$2:$C$200,E128)=0,"AI应用ID无效",IF(F128="","补充AI应用名称",IF(F128&lt;&gt;VLOOKUP(E128,'录入字典'!$C$2:$D$200,2,FALSE),"AI应用名称与ID不一致","可同步")))),IF(COUNTIF('录入字典'!$A$2:$A$200,B128)=0,"场景ID无效",IF(C128&lt;&gt;VLOOKUP(B128,'录入字典'!$A$2:$B$200,2,FALSE),"场景名称与ID不一致",IF(E128="",IF(F128="","待填AI应用","待建产品"),IF(COUNTIF('录入字典'!$C$2:$C$200,E128)=0,"AI应用ID无效",IF(F128="","补充AI应用名称",IF(F128&lt;&gt;VLOOKUP(E128,'录入字典'!$C$2:$D$200,2,FALSE),"AI应用名称与ID不一致","可同步"))))))))</f>
        <v/>
      </c>
    </row>
    <row r="129">
      <c r="A129" s="5" t="inlineStr">
        <is>
          <t>CASE-0128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>
        <f>IF(COUNTA(C129:D129,F129)=0,"",IF(B129="",IF(E129="",IF(F129="","待填AI应用","待建产品"),IF(COUNTIF('录入字典'!$C$2:$C$200,E129)=0,"AI应用ID无效",IF(F129="","补充AI应用名称",IF(F129&lt;&gt;VLOOKUP(E129,'录入字典'!$C$2:$D$200,2,FALSE),"AI应用名称与ID不一致","可同步")))),IF(COUNTIF('录入字典'!$A$2:$A$200,B129)=0,"场景ID无效",IF(C129&lt;&gt;VLOOKUP(B129,'录入字典'!$A$2:$B$200,2,FALSE),"场景名称与ID不一致",IF(E129="",IF(F129="","待填AI应用","待建产品"),IF(COUNTIF('录入字典'!$C$2:$C$200,E129)=0,"AI应用ID无效",IF(F129="","补充AI应用名称",IF(F129&lt;&gt;VLOOKUP(E129,'录入字典'!$C$2:$D$200,2,FALSE),"AI应用名称与ID不一致","可同步"))))))))</f>
        <v/>
      </c>
    </row>
    <row r="130">
      <c r="A130" s="5" t="inlineStr">
        <is>
          <t>CASE-0129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>
        <f>IF(COUNTA(C130:D130,F130)=0,"",IF(B130="",IF(E130="",IF(F130="","待填AI应用","待建产品"),IF(COUNTIF('录入字典'!$C$2:$C$200,E130)=0,"AI应用ID无效",IF(F130="","补充AI应用名称",IF(F130&lt;&gt;VLOOKUP(E130,'录入字典'!$C$2:$D$200,2,FALSE),"AI应用名称与ID不一致","可同步")))),IF(COUNTIF('录入字典'!$A$2:$A$200,B130)=0,"场景ID无效",IF(C130&lt;&gt;VLOOKUP(B130,'录入字典'!$A$2:$B$200,2,FALSE),"场景名称与ID不一致",IF(E130="",IF(F130="","待填AI应用","待建产品"),IF(COUNTIF('录入字典'!$C$2:$C$200,E130)=0,"AI应用ID无效",IF(F130="","补充AI应用名称",IF(F130&lt;&gt;VLOOKUP(E130,'录入字典'!$C$2:$D$200,2,FALSE),"AI应用名称与ID不一致","可同步"))))))))</f>
        <v/>
      </c>
    </row>
    <row r="131">
      <c r="A131" s="5" t="inlineStr">
        <is>
          <t>CASE-0130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>
        <f>IF(COUNTA(C131:D131,F131)=0,"",IF(B131="",IF(E131="",IF(F131="","待填AI应用","待建产品"),IF(COUNTIF('录入字典'!$C$2:$C$200,E131)=0,"AI应用ID无效",IF(F131="","补充AI应用名称",IF(F131&lt;&gt;VLOOKUP(E131,'录入字典'!$C$2:$D$200,2,FALSE),"AI应用名称与ID不一致","可同步")))),IF(COUNTIF('录入字典'!$A$2:$A$200,B131)=0,"场景ID无效",IF(C131&lt;&gt;VLOOKUP(B131,'录入字典'!$A$2:$B$200,2,FALSE),"场景名称与ID不一致",IF(E131="",IF(F131="","待填AI应用","待建产品"),IF(COUNTIF('录入字典'!$C$2:$C$200,E131)=0,"AI应用ID无效",IF(F131="","补充AI应用名称",IF(F131&lt;&gt;VLOOKUP(E131,'录入字典'!$C$2:$D$200,2,FALSE),"AI应用名称与ID不一致","可同步"))))))))</f>
        <v/>
      </c>
    </row>
    <row r="132">
      <c r="A132" s="5" t="inlineStr">
        <is>
          <t>CASE-0131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>
        <f>IF(COUNTA(C132:D132,F132)=0,"",IF(B132="",IF(E132="",IF(F132="","待填AI应用","待建产品"),IF(COUNTIF('录入字典'!$C$2:$C$200,E132)=0,"AI应用ID无效",IF(F132="","补充AI应用名称",IF(F132&lt;&gt;VLOOKUP(E132,'录入字典'!$C$2:$D$200,2,FALSE),"AI应用名称与ID不一致","可同步")))),IF(COUNTIF('录入字典'!$A$2:$A$200,B132)=0,"场景ID无效",IF(C132&lt;&gt;VLOOKUP(B132,'录入字典'!$A$2:$B$200,2,FALSE),"场景名称与ID不一致",IF(E132="",IF(F132="","待填AI应用","待建产品"),IF(COUNTIF('录入字典'!$C$2:$C$200,E132)=0,"AI应用ID无效",IF(F132="","补充AI应用名称",IF(F132&lt;&gt;VLOOKUP(E132,'录入字典'!$C$2:$D$200,2,FALSE),"AI应用名称与ID不一致","可同步"))))))))</f>
        <v/>
      </c>
    </row>
    <row r="133">
      <c r="A133" s="5" t="inlineStr">
        <is>
          <t>CASE-0132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>
        <f>IF(COUNTA(C133:D133,F133)=0,"",IF(B133="",IF(E133="",IF(F133="","待填AI应用","待建产品"),IF(COUNTIF('录入字典'!$C$2:$C$200,E133)=0,"AI应用ID无效",IF(F133="","补充AI应用名称",IF(F133&lt;&gt;VLOOKUP(E133,'录入字典'!$C$2:$D$200,2,FALSE),"AI应用名称与ID不一致","可同步")))),IF(COUNTIF('录入字典'!$A$2:$A$200,B133)=0,"场景ID无效",IF(C133&lt;&gt;VLOOKUP(B133,'录入字典'!$A$2:$B$200,2,FALSE),"场景名称与ID不一致",IF(E133="",IF(F133="","待填AI应用","待建产品"),IF(COUNTIF('录入字典'!$C$2:$C$200,E133)=0,"AI应用ID无效",IF(F133="","补充AI应用名称",IF(F133&lt;&gt;VLOOKUP(E133,'录入字典'!$C$2:$D$200,2,FALSE),"AI应用名称与ID不一致","可同步"))))))))</f>
        <v/>
      </c>
    </row>
    <row r="134">
      <c r="A134" s="5" t="inlineStr">
        <is>
          <t>CASE-0133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>
        <f>IF(COUNTA(C134:D134,F134)=0,"",IF(B134="",IF(E134="",IF(F134="","待填AI应用","待建产品"),IF(COUNTIF('录入字典'!$C$2:$C$200,E134)=0,"AI应用ID无效",IF(F134="","补充AI应用名称",IF(F134&lt;&gt;VLOOKUP(E134,'录入字典'!$C$2:$D$200,2,FALSE),"AI应用名称与ID不一致","可同步")))),IF(COUNTIF('录入字典'!$A$2:$A$200,B134)=0,"场景ID无效",IF(C134&lt;&gt;VLOOKUP(B134,'录入字典'!$A$2:$B$200,2,FALSE),"场景名称与ID不一致",IF(E134="",IF(F134="","待填AI应用","待建产品"),IF(COUNTIF('录入字典'!$C$2:$C$200,E134)=0,"AI应用ID无效",IF(F134="","补充AI应用名称",IF(F134&lt;&gt;VLOOKUP(E134,'录入字典'!$C$2:$D$200,2,FALSE),"AI应用名称与ID不一致","可同步"))))))))</f>
        <v/>
      </c>
    </row>
    <row r="135">
      <c r="A135" s="5" t="inlineStr">
        <is>
          <t>CASE-0134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>
        <f>IF(COUNTA(C135:D135,F135)=0,"",IF(B135="",IF(E135="",IF(F135="","待填AI应用","待建产品"),IF(COUNTIF('录入字典'!$C$2:$C$200,E135)=0,"AI应用ID无效",IF(F135="","补充AI应用名称",IF(F135&lt;&gt;VLOOKUP(E135,'录入字典'!$C$2:$D$200,2,FALSE),"AI应用名称与ID不一致","可同步")))),IF(COUNTIF('录入字典'!$A$2:$A$200,B135)=0,"场景ID无效",IF(C135&lt;&gt;VLOOKUP(B135,'录入字典'!$A$2:$B$200,2,FALSE),"场景名称与ID不一致",IF(E135="",IF(F135="","待填AI应用","待建产品"),IF(COUNTIF('录入字典'!$C$2:$C$200,E135)=0,"AI应用ID无效",IF(F135="","补充AI应用名称",IF(F135&lt;&gt;VLOOKUP(E135,'录入字典'!$C$2:$D$200,2,FALSE),"AI应用名称与ID不一致","可同步"))))))))</f>
        <v/>
      </c>
    </row>
    <row r="136">
      <c r="A136" s="5" t="inlineStr">
        <is>
          <t>CASE-0135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>
        <f>IF(COUNTA(C136:D136,F136)=0,"",IF(B136="",IF(E136="",IF(F136="","待填AI应用","待建产品"),IF(COUNTIF('录入字典'!$C$2:$C$200,E136)=0,"AI应用ID无效",IF(F136="","补充AI应用名称",IF(F136&lt;&gt;VLOOKUP(E136,'录入字典'!$C$2:$D$200,2,FALSE),"AI应用名称与ID不一致","可同步")))),IF(COUNTIF('录入字典'!$A$2:$A$200,B136)=0,"场景ID无效",IF(C136&lt;&gt;VLOOKUP(B136,'录入字典'!$A$2:$B$200,2,FALSE),"场景名称与ID不一致",IF(E136="",IF(F136="","待填AI应用","待建产品"),IF(COUNTIF('录入字典'!$C$2:$C$200,E136)=0,"AI应用ID无效",IF(F136="","补充AI应用名称",IF(F136&lt;&gt;VLOOKUP(E136,'录入字典'!$C$2:$D$200,2,FALSE),"AI应用名称与ID不一致","可同步"))))))))</f>
        <v/>
      </c>
    </row>
    <row r="137">
      <c r="A137" s="5" t="inlineStr">
        <is>
          <t>CASE-0136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>
        <f>IF(COUNTA(C137:D137,F137)=0,"",IF(B137="",IF(E137="",IF(F137="","待填AI应用","待建产品"),IF(COUNTIF('录入字典'!$C$2:$C$200,E137)=0,"AI应用ID无效",IF(F137="","补充AI应用名称",IF(F137&lt;&gt;VLOOKUP(E137,'录入字典'!$C$2:$D$200,2,FALSE),"AI应用名称与ID不一致","可同步")))),IF(COUNTIF('录入字典'!$A$2:$A$200,B137)=0,"场景ID无效",IF(C137&lt;&gt;VLOOKUP(B137,'录入字典'!$A$2:$B$200,2,FALSE),"场景名称与ID不一致",IF(E137="",IF(F137="","待填AI应用","待建产品"),IF(COUNTIF('录入字典'!$C$2:$C$200,E137)=0,"AI应用ID无效",IF(F137="","补充AI应用名称",IF(F137&lt;&gt;VLOOKUP(E137,'录入字典'!$C$2:$D$200,2,FALSE),"AI应用名称与ID不一致","可同步"))))))))</f>
        <v/>
      </c>
    </row>
    <row r="138">
      <c r="A138" s="5" t="inlineStr">
        <is>
          <t>CASE-0137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>
        <f>IF(COUNTA(C138:D138,F138)=0,"",IF(B138="",IF(E138="",IF(F138="","待填AI应用","待建产品"),IF(COUNTIF('录入字典'!$C$2:$C$200,E138)=0,"AI应用ID无效",IF(F138="","补充AI应用名称",IF(F138&lt;&gt;VLOOKUP(E138,'录入字典'!$C$2:$D$200,2,FALSE),"AI应用名称与ID不一致","可同步")))),IF(COUNTIF('录入字典'!$A$2:$A$200,B138)=0,"场景ID无效",IF(C138&lt;&gt;VLOOKUP(B138,'录入字典'!$A$2:$B$200,2,FALSE),"场景名称与ID不一致",IF(E138="",IF(F138="","待填AI应用","待建产品"),IF(COUNTIF('录入字典'!$C$2:$C$200,E138)=0,"AI应用ID无效",IF(F138="","补充AI应用名称",IF(F138&lt;&gt;VLOOKUP(E138,'录入字典'!$C$2:$D$200,2,FALSE),"AI应用名称与ID不一致","可同步"))))))))</f>
        <v/>
      </c>
    </row>
    <row r="139">
      <c r="A139" s="5" t="inlineStr">
        <is>
          <t>CASE-0138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>
        <f>IF(COUNTA(C139:D139,F139)=0,"",IF(B139="",IF(E139="",IF(F139="","待填AI应用","待建产品"),IF(COUNTIF('录入字典'!$C$2:$C$200,E139)=0,"AI应用ID无效",IF(F139="","补充AI应用名称",IF(F139&lt;&gt;VLOOKUP(E139,'录入字典'!$C$2:$D$200,2,FALSE),"AI应用名称与ID不一致","可同步")))),IF(COUNTIF('录入字典'!$A$2:$A$200,B139)=0,"场景ID无效",IF(C139&lt;&gt;VLOOKUP(B139,'录入字典'!$A$2:$B$200,2,FALSE),"场景名称与ID不一致",IF(E139="",IF(F139="","待填AI应用","待建产品"),IF(COUNTIF('录入字典'!$C$2:$C$200,E139)=0,"AI应用ID无效",IF(F139="","补充AI应用名称",IF(F139&lt;&gt;VLOOKUP(E139,'录入字典'!$C$2:$D$200,2,FALSE),"AI应用名称与ID不一致","可同步"))))))))</f>
        <v/>
      </c>
    </row>
    <row r="140">
      <c r="A140" s="5" t="inlineStr">
        <is>
          <t>CASE-0139</t>
        </is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>
        <f>IF(COUNTA(C140:D140,F140)=0,"",IF(B140="",IF(E140="",IF(F140="","待填AI应用","待建产品"),IF(COUNTIF('录入字典'!$C$2:$C$200,E140)=0,"AI应用ID无效",IF(F140="","补充AI应用名称",IF(F140&lt;&gt;VLOOKUP(E140,'录入字典'!$C$2:$D$200,2,FALSE),"AI应用名称与ID不一致","可同步")))),IF(COUNTIF('录入字典'!$A$2:$A$200,B140)=0,"场景ID无效",IF(C140&lt;&gt;VLOOKUP(B140,'录入字典'!$A$2:$B$200,2,FALSE),"场景名称与ID不一致",IF(E140="",IF(F140="","待填AI应用","待建产品"),IF(COUNTIF('录入字典'!$C$2:$C$200,E140)=0,"AI应用ID无效",IF(F140="","补充AI应用名称",IF(F140&lt;&gt;VLOOKUP(E140,'录入字典'!$C$2:$D$200,2,FALSE),"AI应用名称与ID不一致","可同步"))))))))</f>
        <v/>
      </c>
    </row>
    <row r="141">
      <c r="A141" s="5" t="inlineStr">
        <is>
          <t>CASE-0140</t>
        </is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>
        <f>IF(COUNTA(C141:D141,F141)=0,"",IF(B141="",IF(E141="",IF(F141="","待填AI应用","待建产品"),IF(COUNTIF('录入字典'!$C$2:$C$200,E141)=0,"AI应用ID无效",IF(F141="","补充AI应用名称",IF(F141&lt;&gt;VLOOKUP(E141,'录入字典'!$C$2:$D$200,2,FALSE),"AI应用名称与ID不一致","可同步")))),IF(COUNTIF('录入字典'!$A$2:$A$200,B141)=0,"场景ID无效",IF(C141&lt;&gt;VLOOKUP(B141,'录入字典'!$A$2:$B$200,2,FALSE),"场景名称与ID不一致",IF(E141="",IF(F141="","待填AI应用","待建产品"),IF(COUNTIF('录入字典'!$C$2:$C$200,E141)=0,"AI应用ID无效",IF(F141="","补充AI应用名称",IF(F141&lt;&gt;VLOOKUP(E141,'录入字典'!$C$2:$D$200,2,FALSE),"AI应用名称与ID不一致","可同步"))))))))</f>
        <v/>
      </c>
    </row>
    <row r="142">
      <c r="A142" s="5" t="inlineStr">
        <is>
          <t>CASE-0141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>
        <f>IF(COUNTA(C142:D142,F142)=0,"",IF(B142="",IF(E142="",IF(F142="","待填AI应用","待建产品"),IF(COUNTIF('录入字典'!$C$2:$C$200,E142)=0,"AI应用ID无效",IF(F142="","补充AI应用名称",IF(F142&lt;&gt;VLOOKUP(E142,'录入字典'!$C$2:$D$200,2,FALSE),"AI应用名称与ID不一致","可同步")))),IF(COUNTIF('录入字典'!$A$2:$A$200,B142)=0,"场景ID无效",IF(C142&lt;&gt;VLOOKUP(B142,'录入字典'!$A$2:$B$200,2,FALSE),"场景名称与ID不一致",IF(E142="",IF(F142="","待填AI应用","待建产品"),IF(COUNTIF('录入字典'!$C$2:$C$200,E142)=0,"AI应用ID无效",IF(F142="","补充AI应用名称",IF(F142&lt;&gt;VLOOKUP(E142,'录入字典'!$C$2:$D$200,2,FALSE),"AI应用名称与ID不一致","可同步"))))))))</f>
        <v/>
      </c>
    </row>
    <row r="143">
      <c r="A143" s="5" t="inlineStr">
        <is>
          <t>CASE-0142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>
        <f>IF(COUNTA(C143:D143,F143)=0,"",IF(B143="",IF(E143="",IF(F143="","待填AI应用","待建产品"),IF(COUNTIF('录入字典'!$C$2:$C$200,E143)=0,"AI应用ID无效",IF(F143="","补充AI应用名称",IF(F143&lt;&gt;VLOOKUP(E143,'录入字典'!$C$2:$D$200,2,FALSE),"AI应用名称与ID不一致","可同步")))),IF(COUNTIF('录入字典'!$A$2:$A$200,B143)=0,"场景ID无效",IF(C143&lt;&gt;VLOOKUP(B143,'录入字典'!$A$2:$B$200,2,FALSE),"场景名称与ID不一致",IF(E143="",IF(F143="","待填AI应用","待建产品"),IF(COUNTIF('录入字典'!$C$2:$C$200,E143)=0,"AI应用ID无效",IF(F143="","补充AI应用名称",IF(F143&lt;&gt;VLOOKUP(E143,'录入字典'!$C$2:$D$200,2,FALSE),"AI应用名称与ID不一致","可同步"))))))))</f>
        <v/>
      </c>
    </row>
    <row r="144">
      <c r="A144" s="5" t="inlineStr">
        <is>
          <t>CASE-0143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>
        <f>IF(COUNTA(C144:D144,F144)=0,"",IF(B144="",IF(E144="",IF(F144="","待填AI应用","待建产品"),IF(COUNTIF('录入字典'!$C$2:$C$200,E144)=0,"AI应用ID无效",IF(F144="","补充AI应用名称",IF(F144&lt;&gt;VLOOKUP(E144,'录入字典'!$C$2:$D$200,2,FALSE),"AI应用名称与ID不一致","可同步")))),IF(COUNTIF('录入字典'!$A$2:$A$200,B144)=0,"场景ID无效",IF(C144&lt;&gt;VLOOKUP(B144,'录入字典'!$A$2:$B$200,2,FALSE),"场景名称与ID不一致",IF(E144="",IF(F144="","待填AI应用","待建产品"),IF(COUNTIF('录入字典'!$C$2:$C$200,E144)=0,"AI应用ID无效",IF(F144="","补充AI应用名称",IF(F144&lt;&gt;VLOOKUP(E144,'录入字典'!$C$2:$D$200,2,FALSE),"AI应用名称与ID不一致","可同步"))))))))</f>
        <v/>
      </c>
    </row>
    <row r="145">
      <c r="A145" s="5" t="inlineStr">
        <is>
          <t>CASE-0144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>
        <f>IF(COUNTA(C145:D145,F145)=0,"",IF(B145="",IF(E145="",IF(F145="","待填AI应用","待建产品"),IF(COUNTIF('录入字典'!$C$2:$C$200,E145)=0,"AI应用ID无效",IF(F145="","补充AI应用名称",IF(F145&lt;&gt;VLOOKUP(E145,'录入字典'!$C$2:$D$200,2,FALSE),"AI应用名称与ID不一致","可同步")))),IF(COUNTIF('录入字典'!$A$2:$A$200,B145)=0,"场景ID无效",IF(C145&lt;&gt;VLOOKUP(B145,'录入字典'!$A$2:$B$200,2,FALSE),"场景名称与ID不一致",IF(E145="",IF(F145="","待填AI应用","待建产品"),IF(COUNTIF('录入字典'!$C$2:$C$200,E145)=0,"AI应用ID无效",IF(F145="","补充AI应用名称",IF(F145&lt;&gt;VLOOKUP(E145,'录入字典'!$C$2:$D$200,2,FALSE),"AI应用名称与ID不一致","可同步"))))))))</f>
        <v/>
      </c>
    </row>
    <row r="146">
      <c r="A146" s="5" t="inlineStr">
        <is>
          <t>CASE-0145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>
        <f>IF(COUNTA(C146:D146,F146)=0,"",IF(B146="",IF(E146="",IF(F146="","待填AI应用","待建产品"),IF(COUNTIF('录入字典'!$C$2:$C$200,E146)=0,"AI应用ID无效",IF(F146="","补充AI应用名称",IF(F146&lt;&gt;VLOOKUP(E146,'录入字典'!$C$2:$D$200,2,FALSE),"AI应用名称与ID不一致","可同步")))),IF(COUNTIF('录入字典'!$A$2:$A$200,B146)=0,"场景ID无效",IF(C146&lt;&gt;VLOOKUP(B146,'录入字典'!$A$2:$B$200,2,FALSE),"场景名称与ID不一致",IF(E146="",IF(F146="","待填AI应用","待建产品"),IF(COUNTIF('录入字典'!$C$2:$C$200,E146)=0,"AI应用ID无效",IF(F146="","补充AI应用名称",IF(F146&lt;&gt;VLOOKUP(E146,'录入字典'!$C$2:$D$200,2,FALSE),"AI应用名称与ID不一致","可同步"))))))))</f>
        <v/>
      </c>
    </row>
    <row r="147">
      <c r="A147" s="5" t="inlineStr">
        <is>
          <t>CASE-0146</t>
        </is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>
        <f>IF(COUNTA(C147:D147,F147)=0,"",IF(B147="",IF(E147="",IF(F147="","待填AI应用","待建产品"),IF(COUNTIF('录入字典'!$C$2:$C$200,E147)=0,"AI应用ID无效",IF(F147="","补充AI应用名称",IF(F147&lt;&gt;VLOOKUP(E147,'录入字典'!$C$2:$D$200,2,FALSE),"AI应用名称与ID不一致","可同步")))),IF(COUNTIF('录入字典'!$A$2:$A$200,B147)=0,"场景ID无效",IF(C147&lt;&gt;VLOOKUP(B147,'录入字典'!$A$2:$B$200,2,FALSE),"场景名称与ID不一致",IF(E147="",IF(F147="","待填AI应用","待建产品"),IF(COUNTIF('录入字典'!$C$2:$C$200,E147)=0,"AI应用ID无效",IF(F147="","补充AI应用名称",IF(F147&lt;&gt;VLOOKUP(E147,'录入字典'!$C$2:$D$200,2,FALSE),"AI应用名称与ID不一致","可同步"))))))))</f>
        <v/>
      </c>
    </row>
    <row r="148">
      <c r="A148" s="5" t="inlineStr">
        <is>
          <t>CASE-0147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>
        <f>IF(COUNTA(C148:D148,F148)=0,"",IF(B148="",IF(E148="",IF(F148="","待填AI应用","待建产品"),IF(COUNTIF('录入字典'!$C$2:$C$200,E148)=0,"AI应用ID无效",IF(F148="","补充AI应用名称",IF(F148&lt;&gt;VLOOKUP(E148,'录入字典'!$C$2:$D$200,2,FALSE),"AI应用名称与ID不一致","可同步")))),IF(COUNTIF('录入字典'!$A$2:$A$200,B148)=0,"场景ID无效",IF(C148&lt;&gt;VLOOKUP(B148,'录入字典'!$A$2:$B$200,2,FALSE),"场景名称与ID不一致",IF(E148="",IF(F148="","待填AI应用","待建产品"),IF(COUNTIF('录入字典'!$C$2:$C$200,E148)=0,"AI应用ID无效",IF(F148="","补充AI应用名称",IF(F148&lt;&gt;VLOOKUP(E148,'录入字典'!$C$2:$D$200,2,FALSE),"AI应用名称与ID不一致","可同步"))))))))</f>
        <v/>
      </c>
    </row>
    <row r="149">
      <c r="A149" s="5" t="inlineStr">
        <is>
          <t>CASE-0148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>
        <f>IF(COUNTA(C149:D149,F149)=0,"",IF(B149="",IF(E149="",IF(F149="","待填AI应用","待建产品"),IF(COUNTIF('录入字典'!$C$2:$C$200,E149)=0,"AI应用ID无效",IF(F149="","补充AI应用名称",IF(F149&lt;&gt;VLOOKUP(E149,'录入字典'!$C$2:$D$200,2,FALSE),"AI应用名称与ID不一致","可同步")))),IF(COUNTIF('录入字典'!$A$2:$A$200,B149)=0,"场景ID无效",IF(C149&lt;&gt;VLOOKUP(B149,'录入字典'!$A$2:$B$200,2,FALSE),"场景名称与ID不一致",IF(E149="",IF(F149="","待填AI应用","待建产品"),IF(COUNTIF('录入字典'!$C$2:$C$200,E149)=0,"AI应用ID无效",IF(F149="","补充AI应用名称",IF(F149&lt;&gt;VLOOKUP(E149,'录入字典'!$C$2:$D$200,2,FALSE),"AI应用名称与ID不一致","可同步"))))))))</f>
        <v/>
      </c>
    </row>
    <row r="150">
      <c r="A150" s="5" t="inlineStr">
        <is>
          <t>CASE-0149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>
        <f>IF(COUNTA(C150:D150,F150)=0,"",IF(B150="",IF(E150="",IF(F150="","待填AI应用","待建产品"),IF(COUNTIF('录入字典'!$C$2:$C$200,E150)=0,"AI应用ID无效",IF(F150="","补充AI应用名称",IF(F150&lt;&gt;VLOOKUP(E150,'录入字典'!$C$2:$D$200,2,FALSE),"AI应用名称与ID不一致","可同步")))),IF(COUNTIF('录入字典'!$A$2:$A$200,B150)=0,"场景ID无效",IF(C150&lt;&gt;VLOOKUP(B150,'录入字典'!$A$2:$B$200,2,FALSE),"场景名称与ID不一致",IF(E150="",IF(F150="","待填AI应用","待建产品"),IF(COUNTIF('录入字典'!$C$2:$C$200,E150)=0,"AI应用ID无效",IF(F150="","补充AI应用名称",IF(F150&lt;&gt;VLOOKUP(E150,'录入字典'!$C$2:$D$200,2,FALSE),"AI应用名称与ID不一致","可同步"))))))))</f>
        <v/>
      </c>
    </row>
    <row r="151">
      <c r="A151" s="5" t="inlineStr">
        <is>
          <t>CASE-0150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>
        <f>IF(COUNTA(C151:D151,F151)=0,"",IF(B151="",IF(E151="",IF(F151="","待填AI应用","待建产品"),IF(COUNTIF('录入字典'!$C$2:$C$200,E151)=0,"AI应用ID无效",IF(F151="","补充AI应用名称",IF(F151&lt;&gt;VLOOKUP(E151,'录入字典'!$C$2:$D$200,2,FALSE),"AI应用名称与ID不一致","可同步")))),IF(COUNTIF('录入字典'!$A$2:$A$200,B151)=0,"场景ID无效",IF(C151&lt;&gt;VLOOKUP(B151,'录入字典'!$A$2:$B$200,2,FALSE),"场景名称与ID不一致",IF(E151="",IF(F151="","待填AI应用","待建产品"),IF(COUNTIF('录入字典'!$C$2:$C$200,E151)=0,"AI应用ID无效",IF(F151="","补充AI应用名称",IF(F151&lt;&gt;VLOOKUP(E151,'录入字典'!$C$2:$D$200,2,FALSE),"AI应用名称与ID不一致","可同步"))))))))</f>
        <v/>
      </c>
    </row>
    <row r="152">
      <c r="A152" s="5" t="inlineStr">
        <is>
          <t>CASE-0151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>
        <f>IF(COUNTA(C152:D152,F152)=0,"",IF(B152="",IF(E152="",IF(F152="","待填AI应用","待建产品"),IF(COUNTIF('录入字典'!$C$2:$C$200,E152)=0,"AI应用ID无效",IF(F152="","补充AI应用名称",IF(F152&lt;&gt;VLOOKUP(E152,'录入字典'!$C$2:$D$200,2,FALSE),"AI应用名称与ID不一致","可同步")))),IF(COUNTIF('录入字典'!$A$2:$A$200,B152)=0,"场景ID无效",IF(C152&lt;&gt;VLOOKUP(B152,'录入字典'!$A$2:$B$200,2,FALSE),"场景名称与ID不一致",IF(E152="",IF(F152="","待填AI应用","待建产品"),IF(COUNTIF('录入字典'!$C$2:$C$200,E152)=0,"AI应用ID无效",IF(F152="","补充AI应用名称",IF(F152&lt;&gt;VLOOKUP(E152,'录入字典'!$C$2:$D$200,2,FALSE),"AI应用名称与ID不一致","可同步"))))))))</f>
        <v/>
      </c>
    </row>
    <row r="153">
      <c r="A153" s="5" t="inlineStr">
        <is>
          <t>CASE-0152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>
        <f>IF(COUNTA(C153:D153,F153)=0,"",IF(B153="",IF(E153="",IF(F153="","待填AI应用","待建产品"),IF(COUNTIF('录入字典'!$C$2:$C$200,E153)=0,"AI应用ID无效",IF(F153="","补充AI应用名称",IF(F153&lt;&gt;VLOOKUP(E153,'录入字典'!$C$2:$D$200,2,FALSE),"AI应用名称与ID不一致","可同步")))),IF(COUNTIF('录入字典'!$A$2:$A$200,B153)=0,"场景ID无效",IF(C153&lt;&gt;VLOOKUP(B153,'录入字典'!$A$2:$B$200,2,FALSE),"场景名称与ID不一致",IF(E153="",IF(F153="","待填AI应用","待建产品"),IF(COUNTIF('录入字典'!$C$2:$C$200,E153)=0,"AI应用ID无效",IF(F153="","补充AI应用名称",IF(F153&lt;&gt;VLOOKUP(E153,'录入字典'!$C$2:$D$200,2,FALSE),"AI应用名称与ID不一致","可同步"))))))))</f>
        <v/>
      </c>
    </row>
    <row r="154">
      <c r="A154" s="5" t="inlineStr">
        <is>
          <t>CASE-0153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>
        <f>IF(COUNTA(C154:D154,F154)=0,"",IF(B154="",IF(E154="",IF(F154="","待填AI应用","待建产品"),IF(COUNTIF('录入字典'!$C$2:$C$200,E154)=0,"AI应用ID无效",IF(F154="","补充AI应用名称",IF(F154&lt;&gt;VLOOKUP(E154,'录入字典'!$C$2:$D$200,2,FALSE),"AI应用名称与ID不一致","可同步")))),IF(COUNTIF('录入字典'!$A$2:$A$200,B154)=0,"场景ID无效",IF(C154&lt;&gt;VLOOKUP(B154,'录入字典'!$A$2:$B$200,2,FALSE),"场景名称与ID不一致",IF(E154="",IF(F154="","待填AI应用","待建产品"),IF(COUNTIF('录入字典'!$C$2:$C$200,E154)=0,"AI应用ID无效",IF(F154="","补充AI应用名称",IF(F154&lt;&gt;VLOOKUP(E154,'录入字典'!$C$2:$D$200,2,FALSE),"AI应用名称与ID不一致","可同步"))))))))</f>
        <v/>
      </c>
    </row>
    <row r="155">
      <c r="A155" s="5" t="inlineStr">
        <is>
          <t>CASE-0154</t>
        </is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>
        <f>IF(COUNTA(C155:D155,F155)=0,"",IF(B155="",IF(E155="",IF(F155="","待填AI应用","待建产品"),IF(COUNTIF('录入字典'!$C$2:$C$200,E155)=0,"AI应用ID无效",IF(F155="","补充AI应用名称",IF(F155&lt;&gt;VLOOKUP(E155,'录入字典'!$C$2:$D$200,2,FALSE),"AI应用名称与ID不一致","可同步")))),IF(COUNTIF('录入字典'!$A$2:$A$200,B155)=0,"场景ID无效",IF(C155&lt;&gt;VLOOKUP(B155,'录入字典'!$A$2:$B$200,2,FALSE),"场景名称与ID不一致",IF(E155="",IF(F155="","待填AI应用","待建产品"),IF(COUNTIF('录入字典'!$C$2:$C$200,E155)=0,"AI应用ID无效",IF(F155="","补充AI应用名称",IF(F155&lt;&gt;VLOOKUP(E155,'录入字典'!$C$2:$D$200,2,FALSE),"AI应用名称与ID不一致","可同步"))))))))</f>
        <v/>
      </c>
    </row>
    <row r="156">
      <c r="A156" s="5" t="inlineStr">
        <is>
          <t>CASE-0155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>
        <f>IF(COUNTA(C156:D156,F156)=0,"",IF(B156="",IF(E156="",IF(F156="","待填AI应用","待建产品"),IF(COUNTIF('录入字典'!$C$2:$C$200,E156)=0,"AI应用ID无效",IF(F156="","补充AI应用名称",IF(F156&lt;&gt;VLOOKUP(E156,'录入字典'!$C$2:$D$200,2,FALSE),"AI应用名称与ID不一致","可同步")))),IF(COUNTIF('录入字典'!$A$2:$A$200,B156)=0,"场景ID无效",IF(C156&lt;&gt;VLOOKUP(B156,'录入字典'!$A$2:$B$200,2,FALSE),"场景名称与ID不一致",IF(E156="",IF(F156="","待填AI应用","待建产品"),IF(COUNTIF('录入字典'!$C$2:$C$200,E156)=0,"AI应用ID无效",IF(F156="","补充AI应用名称",IF(F156&lt;&gt;VLOOKUP(E156,'录入字典'!$C$2:$D$200,2,FALSE),"AI应用名称与ID不一致","可同步"))))))))</f>
        <v/>
      </c>
    </row>
    <row r="157">
      <c r="A157" s="5" t="inlineStr">
        <is>
          <t>CASE-0156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>
        <f>IF(COUNTA(C157:D157,F157)=0,"",IF(B157="",IF(E157="",IF(F157="","待填AI应用","待建产品"),IF(COUNTIF('录入字典'!$C$2:$C$200,E157)=0,"AI应用ID无效",IF(F157="","补充AI应用名称",IF(F157&lt;&gt;VLOOKUP(E157,'录入字典'!$C$2:$D$200,2,FALSE),"AI应用名称与ID不一致","可同步")))),IF(COUNTIF('录入字典'!$A$2:$A$200,B157)=0,"场景ID无效",IF(C157&lt;&gt;VLOOKUP(B157,'录入字典'!$A$2:$B$200,2,FALSE),"场景名称与ID不一致",IF(E157="",IF(F157="","待填AI应用","待建产品"),IF(COUNTIF('录入字典'!$C$2:$C$200,E157)=0,"AI应用ID无效",IF(F157="","补充AI应用名称",IF(F157&lt;&gt;VLOOKUP(E157,'录入字典'!$C$2:$D$200,2,FALSE),"AI应用名称与ID不一致","可同步"))))))))</f>
        <v/>
      </c>
    </row>
    <row r="158">
      <c r="A158" s="5" t="inlineStr">
        <is>
          <t>CASE-0157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>
        <f>IF(COUNTA(C158:D158,F158)=0,"",IF(B158="",IF(E158="",IF(F158="","待填AI应用","待建产品"),IF(COUNTIF('录入字典'!$C$2:$C$200,E158)=0,"AI应用ID无效",IF(F158="","补充AI应用名称",IF(F158&lt;&gt;VLOOKUP(E158,'录入字典'!$C$2:$D$200,2,FALSE),"AI应用名称与ID不一致","可同步")))),IF(COUNTIF('录入字典'!$A$2:$A$200,B158)=0,"场景ID无效",IF(C158&lt;&gt;VLOOKUP(B158,'录入字典'!$A$2:$B$200,2,FALSE),"场景名称与ID不一致",IF(E158="",IF(F158="","待填AI应用","待建产品"),IF(COUNTIF('录入字典'!$C$2:$C$200,E158)=0,"AI应用ID无效",IF(F158="","补充AI应用名称",IF(F158&lt;&gt;VLOOKUP(E158,'录入字典'!$C$2:$D$200,2,FALSE),"AI应用名称与ID不一致","可同步"))))))))</f>
        <v/>
      </c>
    </row>
    <row r="159">
      <c r="A159" s="5" t="inlineStr">
        <is>
          <t>CASE-0158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>
        <f>IF(COUNTA(C159:D159,F159)=0,"",IF(B159="",IF(E159="",IF(F159="","待填AI应用","待建产品"),IF(COUNTIF('录入字典'!$C$2:$C$200,E159)=0,"AI应用ID无效",IF(F159="","补充AI应用名称",IF(F159&lt;&gt;VLOOKUP(E159,'录入字典'!$C$2:$D$200,2,FALSE),"AI应用名称与ID不一致","可同步")))),IF(COUNTIF('录入字典'!$A$2:$A$200,B159)=0,"场景ID无效",IF(C159&lt;&gt;VLOOKUP(B159,'录入字典'!$A$2:$B$200,2,FALSE),"场景名称与ID不一致",IF(E159="",IF(F159="","待填AI应用","待建产品"),IF(COUNTIF('录入字典'!$C$2:$C$200,E159)=0,"AI应用ID无效",IF(F159="","补充AI应用名称",IF(F159&lt;&gt;VLOOKUP(E159,'录入字典'!$C$2:$D$200,2,FALSE),"AI应用名称与ID不一致","可同步"))))))))</f>
        <v/>
      </c>
    </row>
    <row r="160">
      <c r="A160" s="5" t="inlineStr">
        <is>
          <t>CASE-0159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>
        <f>IF(COUNTA(C160:D160,F160)=0,"",IF(B160="",IF(E160="",IF(F160="","待填AI应用","待建产品"),IF(COUNTIF('录入字典'!$C$2:$C$200,E160)=0,"AI应用ID无效",IF(F160="","补充AI应用名称",IF(F160&lt;&gt;VLOOKUP(E160,'录入字典'!$C$2:$D$200,2,FALSE),"AI应用名称与ID不一致","可同步")))),IF(COUNTIF('录入字典'!$A$2:$A$200,B160)=0,"场景ID无效",IF(C160&lt;&gt;VLOOKUP(B160,'录入字典'!$A$2:$B$200,2,FALSE),"场景名称与ID不一致",IF(E160="",IF(F160="","待填AI应用","待建产品"),IF(COUNTIF('录入字典'!$C$2:$C$200,E160)=0,"AI应用ID无效",IF(F160="","补充AI应用名称",IF(F160&lt;&gt;VLOOKUP(E160,'录入字典'!$C$2:$D$200,2,FALSE),"AI应用名称与ID不一致","可同步"))))))))</f>
        <v/>
      </c>
    </row>
    <row r="161">
      <c r="A161" s="5" t="inlineStr">
        <is>
          <t>CASE-0160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>
        <f>IF(COUNTA(C161:D161,F161)=0,"",IF(B161="",IF(E161="",IF(F161="","待填AI应用","待建产品"),IF(COUNTIF('录入字典'!$C$2:$C$200,E161)=0,"AI应用ID无效",IF(F161="","补充AI应用名称",IF(F161&lt;&gt;VLOOKUP(E161,'录入字典'!$C$2:$D$200,2,FALSE),"AI应用名称与ID不一致","可同步")))),IF(COUNTIF('录入字典'!$A$2:$A$200,B161)=0,"场景ID无效",IF(C161&lt;&gt;VLOOKUP(B161,'录入字典'!$A$2:$B$200,2,FALSE),"场景名称与ID不一致",IF(E161="",IF(F161="","待填AI应用","待建产品"),IF(COUNTIF('录入字典'!$C$2:$C$200,E161)=0,"AI应用ID无效",IF(F161="","补充AI应用名称",IF(F161&lt;&gt;VLOOKUP(E161,'录入字典'!$C$2:$D$200,2,FALSE),"AI应用名称与ID不一致","可同步"))))))))</f>
        <v/>
      </c>
    </row>
    <row r="162">
      <c r="A162" s="5" t="inlineStr">
        <is>
          <t>CASE-0161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>
        <f>IF(COUNTA(C162:D162,F162)=0,"",IF(B162="",IF(E162="",IF(F162="","待填AI应用","待建产品"),IF(COUNTIF('录入字典'!$C$2:$C$200,E162)=0,"AI应用ID无效",IF(F162="","补充AI应用名称",IF(F162&lt;&gt;VLOOKUP(E162,'录入字典'!$C$2:$D$200,2,FALSE),"AI应用名称与ID不一致","可同步")))),IF(COUNTIF('录入字典'!$A$2:$A$200,B162)=0,"场景ID无效",IF(C162&lt;&gt;VLOOKUP(B162,'录入字典'!$A$2:$B$200,2,FALSE),"场景名称与ID不一致",IF(E162="",IF(F162="","待填AI应用","待建产品"),IF(COUNTIF('录入字典'!$C$2:$C$200,E162)=0,"AI应用ID无效",IF(F162="","补充AI应用名称",IF(F162&lt;&gt;VLOOKUP(E162,'录入字典'!$C$2:$D$200,2,FALSE),"AI应用名称与ID不一致","可同步"))))))))</f>
        <v/>
      </c>
    </row>
    <row r="163">
      <c r="A163" s="5" t="inlineStr">
        <is>
          <t>CASE-0162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>
        <f>IF(COUNTA(C163:D163,F163)=0,"",IF(B163="",IF(E163="",IF(F163="","待填AI应用","待建产品"),IF(COUNTIF('录入字典'!$C$2:$C$200,E163)=0,"AI应用ID无效",IF(F163="","补充AI应用名称",IF(F163&lt;&gt;VLOOKUP(E163,'录入字典'!$C$2:$D$200,2,FALSE),"AI应用名称与ID不一致","可同步")))),IF(COUNTIF('录入字典'!$A$2:$A$200,B163)=0,"场景ID无效",IF(C163&lt;&gt;VLOOKUP(B163,'录入字典'!$A$2:$B$200,2,FALSE),"场景名称与ID不一致",IF(E163="",IF(F163="","待填AI应用","待建产品"),IF(COUNTIF('录入字典'!$C$2:$C$200,E163)=0,"AI应用ID无效",IF(F163="","补充AI应用名称",IF(F163&lt;&gt;VLOOKUP(E163,'录入字典'!$C$2:$D$200,2,FALSE),"AI应用名称与ID不一致","可同步"))))))))</f>
        <v/>
      </c>
    </row>
    <row r="164">
      <c r="A164" s="5" t="inlineStr">
        <is>
          <t>CASE-0163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>
        <f>IF(COUNTA(C164:D164,F164)=0,"",IF(B164="",IF(E164="",IF(F164="","待填AI应用","待建产品"),IF(COUNTIF('录入字典'!$C$2:$C$200,E164)=0,"AI应用ID无效",IF(F164="","补充AI应用名称",IF(F164&lt;&gt;VLOOKUP(E164,'录入字典'!$C$2:$D$200,2,FALSE),"AI应用名称与ID不一致","可同步")))),IF(COUNTIF('录入字典'!$A$2:$A$200,B164)=0,"场景ID无效",IF(C164&lt;&gt;VLOOKUP(B164,'录入字典'!$A$2:$B$200,2,FALSE),"场景名称与ID不一致",IF(E164="",IF(F164="","待填AI应用","待建产品"),IF(COUNTIF('录入字典'!$C$2:$C$200,E164)=0,"AI应用ID无效",IF(F164="","补充AI应用名称",IF(F164&lt;&gt;VLOOKUP(E164,'录入字典'!$C$2:$D$200,2,FALSE),"AI应用名称与ID不一致","可同步"))))))))</f>
        <v/>
      </c>
    </row>
    <row r="165">
      <c r="A165" s="5" t="inlineStr">
        <is>
          <t>CASE-0164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>
        <f>IF(COUNTA(C165:D165,F165)=0,"",IF(B165="",IF(E165="",IF(F165="","待填AI应用","待建产品"),IF(COUNTIF('录入字典'!$C$2:$C$200,E165)=0,"AI应用ID无效",IF(F165="","补充AI应用名称",IF(F165&lt;&gt;VLOOKUP(E165,'录入字典'!$C$2:$D$200,2,FALSE),"AI应用名称与ID不一致","可同步")))),IF(COUNTIF('录入字典'!$A$2:$A$200,B165)=0,"场景ID无效",IF(C165&lt;&gt;VLOOKUP(B165,'录入字典'!$A$2:$B$200,2,FALSE),"场景名称与ID不一致",IF(E165="",IF(F165="","待填AI应用","待建产品"),IF(COUNTIF('录入字典'!$C$2:$C$200,E165)=0,"AI应用ID无效",IF(F165="","补充AI应用名称",IF(F165&lt;&gt;VLOOKUP(E165,'录入字典'!$C$2:$D$200,2,FALSE),"AI应用名称与ID不一致","可同步"))))))))</f>
        <v/>
      </c>
    </row>
    <row r="166">
      <c r="A166" s="5" t="inlineStr">
        <is>
          <t>CASE-0165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>
        <f>IF(COUNTA(C166:D166,F166)=0,"",IF(B166="",IF(E166="",IF(F166="","待填AI应用","待建产品"),IF(COUNTIF('录入字典'!$C$2:$C$200,E166)=0,"AI应用ID无效",IF(F166="","补充AI应用名称",IF(F166&lt;&gt;VLOOKUP(E166,'录入字典'!$C$2:$D$200,2,FALSE),"AI应用名称与ID不一致","可同步")))),IF(COUNTIF('录入字典'!$A$2:$A$200,B166)=0,"场景ID无效",IF(C166&lt;&gt;VLOOKUP(B166,'录入字典'!$A$2:$B$200,2,FALSE),"场景名称与ID不一致",IF(E166="",IF(F166="","待填AI应用","待建产品"),IF(COUNTIF('录入字典'!$C$2:$C$200,E166)=0,"AI应用ID无效",IF(F166="","补充AI应用名称",IF(F166&lt;&gt;VLOOKUP(E166,'录入字典'!$C$2:$D$200,2,FALSE),"AI应用名称与ID不一致","可同步"))))))))</f>
        <v/>
      </c>
    </row>
    <row r="167">
      <c r="A167" s="5" t="inlineStr">
        <is>
          <t>CASE-0166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>
        <f>IF(COUNTA(C167:D167,F167)=0,"",IF(B167="",IF(E167="",IF(F167="","待填AI应用","待建产品"),IF(COUNTIF('录入字典'!$C$2:$C$200,E167)=0,"AI应用ID无效",IF(F167="","补充AI应用名称",IF(F167&lt;&gt;VLOOKUP(E167,'录入字典'!$C$2:$D$200,2,FALSE),"AI应用名称与ID不一致","可同步")))),IF(COUNTIF('录入字典'!$A$2:$A$200,B167)=0,"场景ID无效",IF(C167&lt;&gt;VLOOKUP(B167,'录入字典'!$A$2:$B$200,2,FALSE),"场景名称与ID不一致",IF(E167="",IF(F167="","待填AI应用","待建产品"),IF(COUNTIF('录入字典'!$C$2:$C$200,E167)=0,"AI应用ID无效",IF(F167="","补充AI应用名称",IF(F167&lt;&gt;VLOOKUP(E167,'录入字典'!$C$2:$D$200,2,FALSE),"AI应用名称与ID不一致","可同步"))))))))</f>
        <v/>
      </c>
    </row>
    <row r="168">
      <c r="A168" s="5" t="inlineStr">
        <is>
          <t>CASE-0167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>
        <f>IF(COUNTA(C168:D168,F168)=0,"",IF(B168="",IF(E168="",IF(F168="","待填AI应用","待建产品"),IF(COUNTIF('录入字典'!$C$2:$C$200,E168)=0,"AI应用ID无效",IF(F168="","补充AI应用名称",IF(F168&lt;&gt;VLOOKUP(E168,'录入字典'!$C$2:$D$200,2,FALSE),"AI应用名称与ID不一致","可同步")))),IF(COUNTIF('录入字典'!$A$2:$A$200,B168)=0,"场景ID无效",IF(C168&lt;&gt;VLOOKUP(B168,'录入字典'!$A$2:$B$200,2,FALSE),"场景名称与ID不一致",IF(E168="",IF(F168="","待填AI应用","待建产品"),IF(COUNTIF('录入字典'!$C$2:$C$200,E168)=0,"AI应用ID无效",IF(F168="","补充AI应用名称",IF(F168&lt;&gt;VLOOKUP(E168,'录入字典'!$C$2:$D$200,2,FALSE),"AI应用名称与ID不一致","可同步"))))))))</f>
        <v/>
      </c>
    </row>
    <row r="169">
      <c r="A169" s="5" t="inlineStr">
        <is>
          <t>CASE-0168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>
        <f>IF(COUNTA(C169:D169,F169)=0,"",IF(B169="",IF(E169="",IF(F169="","待填AI应用","待建产品"),IF(COUNTIF('录入字典'!$C$2:$C$200,E169)=0,"AI应用ID无效",IF(F169="","补充AI应用名称",IF(F169&lt;&gt;VLOOKUP(E169,'录入字典'!$C$2:$D$200,2,FALSE),"AI应用名称与ID不一致","可同步")))),IF(COUNTIF('录入字典'!$A$2:$A$200,B169)=0,"场景ID无效",IF(C169&lt;&gt;VLOOKUP(B169,'录入字典'!$A$2:$B$200,2,FALSE),"场景名称与ID不一致",IF(E169="",IF(F169="","待填AI应用","待建产品"),IF(COUNTIF('录入字典'!$C$2:$C$200,E169)=0,"AI应用ID无效",IF(F169="","补充AI应用名称",IF(F169&lt;&gt;VLOOKUP(E169,'录入字典'!$C$2:$D$200,2,FALSE),"AI应用名称与ID不一致","可同步"))))))))</f>
        <v/>
      </c>
    </row>
    <row r="170">
      <c r="A170" s="5" t="inlineStr">
        <is>
          <t>CASE-0169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>
        <f>IF(COUNTA(C170:D170,F170)=0,"",IF(B170="",IF(E170="",IF(F170="","待填AI应用","待建产品"),IF(COUNTIF('录入字典'!$C$2:$C$200,E170)=0,"AI应用ID无效",IF(F170="","补充AI应用名称",IF(F170&lt;&gt;VLOOKUP(E170,'录入字典'!$C$2:$D$200,2,FALSE),"AI应用名称与ID不一致","可同步")))),IF(COUNTIF('录入字典'!$A$2:$A$200,B170)=0,"场景ID无效",IF(C170&lt;&gt;VLOOKUP(B170,'录入字典'!$A$2:$B$200,2,FALSE),"场景名称与ID不一致",IF(E170="",IF(F170="","待填AI应用","待建产品"),IF(COUNTIF('录入字典'!$C$2:$C$200,E170)=0,"AI应用ID无效",IF(F170="","补充AI应用名称",IF(F170&lt;&gt;VLOOKUP(E170,'录入字典'!$C$2:$D$200,2,FALSE),"AI应用名称与ID不一致","可同步"))))))))</f>
        <v/>
      </c>
    </row>
    <row r="171">
      <c r="A171" s="5" t="inlineStr">
        <is>
          <t>CASE-0170</t>
        </is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>
        <f>IF(COUNTA(C171:D171,F171)=0,"",IF(B171="",IF(E171="",IF(F171="","待填AI应用","待建产品"),IF(COUNTIF('录入字典'!$C$2:$C$200,E171)=0,"AI应用ID无效",IF(F171="","补充AI应用名称",IF(F171&lt;&gt;VLOOKUP(E171,'录入字典'!$C$2:$D$200,2,FALSE),"AI应用名称与ID不一致","可同步")))),IF(COUNTIF('录入字典'!$A$2:$A$200,B171)=0,"场景ID无效",IF(C171&lt;&gt;VLOOKUP(B171,'录入字典'!$A$2:$B$200,2,FALSE),"场景名称与ID不一致",IF(E171="",IF(F171="","待填AI应用","待建产品"),IF(COUNTIF('录入字典'!$C$2:$C$200,E171)=0,"AI应用ID无效",IF(F171="","补充AI应用名称",IF(F171&lt;&gt;VLOOKUP(E171,'录入字典'!$C$2:$D$200,2,FALSE),"AI应用名称与ID不一致","可同步"))))))))</f>
        <v/>
      </c>
    </row>
    <row r="172">
      <c r="A172" s="5" t="inlineStr">
        <is>
          <t>CASE-0171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>
        <f>IF(COUNTA(C172:D172,F172)=0,"",IF(B172="",IF(E172="",IF(F172="","待填AI应用","待建产品"),IF(COUNTIF('录入字典'!$C$2:$C$200,E172)=0,"AI应用ID无效",IF(F172="","补充AI应用名称",IF(F172&lt;&gt;VLOOKUP(E172,'录入字典'!$C$2:$D$200,2,FALSE),"AI应用名称与ID不一致","可同步")))),IF(COUNTIF('录入字典'!$A$2:$A$200,B172)=0,"场景ID无效",IF(C172&lt;&gt;VLOOKUP(B172,'录入字典'!$A$2:$B$200,2,FALSE),"场景名称与ID不一致",IF(E172="",IF(F172="","待填AI应用","待建产品"),IF(COUNTIF('录入字典'!$C$2:$C$200,E172)=0,"AI应用ID无效",IF(F172="","补充AI应用名称",IF(F172&lt;&gt;VLOOKUP(E172,'录入字典'!$C$2:$D$200,2,FALSE),"AI应用名称与ID不一致","可同步"))))))))</f>
        <v/>
      </c>
    </row>
    <row r="173">
      <c r="A173" s="5" t="inlineStr">
        <is>
          <t>CASE-0172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>
        <f>IF(COUNTA(C173:D173,F173)=0,"",IF(B173="",IF(E173="",IF(F173="","待填AI应用","待建产品"),IF(COUNTIF('录入字典'!$C$2:$C$200,E173)=0,"AI应用ID无效",IF(F173="","补充AI应用名称",IF(F173&lt;&gt;VLOOKUP(E173,'录入字典'!$C$2:$D$200,2,FALSE),"AI应用名称与ID不一致","可同步")))),IF(COUNTIF('录入字典'!$A$2:$A$200,B173)=0,"场景ID无效",IF(C173&lt;&gt;VLOOKUP(B173,'录入字典'!$A$2:$B$200,2,FALSE),"场景名称与ID不一致",IF(E173="",IF(F173="","待填AI应用","待建产品"),IF(COUNTIF('录入字典'!$C$2:$C$200,E173)=0,"AI应用ID无效",IF(F173="","补充AI应用名称",IF(F173&lt;&gt;VLOOKUP(E173,'录入字典'!$C$2:$D$200,2,FALSE),"AI应用名称与ID不一致","可同步"))))))))</f>
        <v/>
      </c>
    </row>
    <row r="174">
      <c r="A174" s="5" t="inlineStr">
        <is>
          <t>CASE-0173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>
        <f>IF(COUNTA(C174:D174,F174)=0,"",IF(B174="",IF(E174="",IF(F174="","待填AI应用","待建产品"),IF(COUNTIF('录入字典'!$C$2:$C$200,E174)=0,"AI应用ID无效",IF(F174="","补充AI应用名称",IF(F174&lt;&gt;VLOOKUP(E174,'录入字典'!$C$2:$D$200,2,FALSE),"AI应用名称与ID不一致","可同步")))),IF(COUNTIF('录入字典'!$A$2:$A$200,B174)=0,"场景ID无效",IF(C174&lt;&gt;VLOOKUP(B174,'录入字典'!$A$2:$B$200,2,FALSE),"场景名称与ID不一致",IF(E174="",IF(F174="","待填AI应用","待建产品"),IF(COUNTIF('录入字典'!$C$2:$C$200,E174)=0,"AI应用ID无效",IF(F174="","补充AI应用名称",IF(F174&lt;&gt;VLOOKUP(E174,'录入字典'!$C$2:$D$200,2,FALSE),"AI应用名称与ID不一致","可同步"))))))))</f>
        <v/>
      </c>
    </row>
    <row r="175">
      <c r="A175" s="5" t="inlineStr">
        <is>
          <t>CASE-0174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>
        <f>IF(COUNTA(C175:D175,F175)=0,"",IF(B175="",IF(E175="",IF(F175="","待填AI应用","待建产品"),IF(COUNTIF('录入字典'!$C$2:$C$200,E175)=0,"AI应用ID无效",IF(F175="","补充AI应用名称",IF(F175&lt;&gt;VLOOKUP(E175,'录入字典'!$C$2:$D$200,2,FALSE),"AI应用名称与ID不一致","可同步")))),IF(COUNTIF('录入字典'!$A$2:$A$200,B175)=0,"场景ID无效",IF(C175&lt;&gt;VLOOKUP(B175,'录入字典'!$A$2:$B$200,2,FALSE),"场景名称与ID不一致",IF(E175="",IF(F175="","待填AI应用","待建产品"),IF(COUNTIF('录入字典'!$C$2:$C$200,E175)=0,"AI应用ID无效",IF(F175="","补充AI应用名称",IF(F175&lt;&gt;VLOOKUP(E175,'录入字典'!$C$2:$D$200,2,FALSE),"AI应用名称与ID不一致","可同步"))))))))</f>
        <v/>
      </c>
    </row>
    <row r="176">
      <c r="A176" s="5" t="inlineStr">
        <is>
          <t>CASE-0175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>
        <f>IF(COUNTA(C176:D176,F176)=0,"",IF(B176="",IF(E176="",IF(F176="","待填AI应用","待建产品"),IF(COUNTIF('录入字典'!$C$2:$C$200,E176)=0,"AI应用ID无效",IF(F176="","补充AI应用名称",IF(F176&lt;&gt;VLOOKUP(E176,'录入字典'!$C$2:$D$200,2,FALSE),"AI应用名称与ID不一致","可同步")))),IF(COUNTIF('录入字典'!$A$2:$A$200,B176)=0,"场景ID无效",IF(C176&lt;&gt;VLOOKUP(B176,'录入字典'!$A$2:$B$200,2,FALSE),"场景名称与ID不一致",IF(E176="",IF(F176="","待填AI应用","待建产品"),IF(COUNTIF('录入字典'!$C$2:$C$200,E176)=0,"AI应用ID无效",IF(F176="","补充AI应用名称",IF(F176&lt;&gt;VLOOKUP(E176,'录入字典'!$C$2:$D$200,2,FALSE),"AI应用名称与ID不一致","可同步"))))))))</f>
        <v/>
      </c>
    </row>
    <row r="177">
      <c r="A177" s="5" t="inlineStr">
        <is>
          <t>CASE-0176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>
        <f>IF(COUNTA(C177:D177,F177)=0,"",IF(B177="",IF(E177="",IF(F177="","待填AI应用","待建产品"),IF(COUNTIF('录入字典'!$C$2:$C$200,E177)=0,"AI应用ID无效",IF(F177="","补充AI应用名称",IF(F177&lt;&gt;VLOOKUP(E177,'录入字典'!$C$2:$D$200,2,FALSE),"AI应用名称与ID不一致","可同步")))),IF(COUNTIF('录入字典'!$A$2:$A$200,B177)=0,"场景ID无效",IF(C177&lt;&gt;VLOOKUP(B177,'录入字典'!$A$2:$B$200,2,FALSE),"场景名称与ID不一致",IF(E177="",IF(F177="","待填AI应用","待建产品"),IF(COUNTIF('录入字典'!$C$2:$C$200,E177)=0,"AI应用ID无效",IF(F177="","补充AI应用名称",IF(F177&lt;&gt;VLOOKUP(E177,'录入字典'!$C$2:$D$200,2,FALSE),"AI应用名称与ID不一致","可同步"))))))))</f>
        <v/>
      </c>
    </row>
    <row r="178">
      <c r="A178" s="5" t="inlineStr">
        <is>
          <t>CASE-0177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>
        <f>IF(COUNTA(C178:D178,F178)=0,"",IF(B178="",IF(E178="",IF(F178="","待填AI应用","待建产品"),IF(COUNTIF('录入字典'!$C$2:$C$200,E178)=0,"AI应用ID无效",IF(F178="","补充AI应用名称",IF(F178&lt;&gt;VLOOKUP(E178,'录入字典'!$C$2:$D$200,2,FALSE),"AI应用名称与ID不一致","可同步")))),IF(COUNTIF('录入字典'!$A$2:$A$200,B178)=0,"场景ID无效",IF(C178&lt;&gt;VLOOKUP(B178,'录入字典'!$A$2:$B$200,2,FALSE),"场景名称与ID不一致",IF(E178="",IF(F178="","待填AI应用","待建产品"),IF(COUNTIF('录入字典'!$C$2:$C$200,E178)=0,"AI应用ID无效",IF(F178="","补充AI应用名称",IF(F178&lt;&gt;VLOOKUP(E178,'录入字典'!$C$2:$D$200,2,FALSE),"AI应用名称与ID不一致","可同步"))))))))</f>
        <v/>
      </c>
    </row>
    <row r="179">
      <c r="A179" s="5" t="inlineStr">
        <is>
          <t>CASE-0178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>
        <f>IF(COUNTA(C179:D179,F179)=0,"",IF(B179="",IF(E179="",IF(F179="","待填AI应用","待建产品"),IF(COUNTIF('录入字典'!$C$2:$C$200,E179)=0,"AI应用ID无效",IF(F179="","补充AI应用名称",IF(F179&lt;&gt;VLOOKUP(E179,'录入字典'!$C$2:$D$200,2,FALSE),"AI应用名称与ID不一致","可同步")))),IF(COUNTIF('录入字典'!$A$2:$A$200,B179)=0,"场景ID无效",IF(C179&lt;&gt;VLOOKUP(B179,'录入字典'!$A$2:$B$200,2,FALSE),"场景名称与ID不一致",IF(E179="",IF(F179="","待填AI应用","待建产品"),IF(COUNTIF('录入字典'!$C$2:$C$200,E179)=0,"AI应用ID无效",IF(F179="","补充AI应用名称",IF(F179&lt;&gt;VLOOKUP(E179,'录入字典'!$C$2:$D$200,2,FALSE),"AI应用名称与ID不一致","可同步"))))))))</f>
        <v/>
      </c>
    </row>
    <row r="180">
      <c r="A180" s="5" t="inlineStr">
        <is>
          <t>CASE-0179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>
        <f>IF(COUNTA(C180:D180,F180)=0,"",IF(B180="",IF(E180="",IF(F180="","待填AI应用","待建产品"),IF(COUNTIF('录入字典'!$C$2:$C$200,E180)=0,"AI应用ID无效",IF(F180="","补充AI应用名称",IF(F180&lt;&gt;VLOOKUP(E180,'录入字典'!$C$2:$D$200,2,FALSE),"AI应用名称与ID不一致","可同步")))),IF(COUNTIF('录入字典'!$A$2:$A$200,B180)=0,"场景ID无效",IF(C180&lt;&gt;VLOOKUP(B180,'录入字典'!$A$2:$B$200,2,FALSE),"场景名称与ID不一致",IF(E180="",IF(F180="","待填AI应用","待建产品"),IF(COUNTIF('录入字典'!$C$2:$C$200,E180)=0,"AI应用ID无效",IF(F180="","补充AI应用名称",IF(F180&lt;&gt;VLOOKUP(E180,'录入字典'!$C$2:$D$200,2,FALSE),"AI应用名称与ID不一致","可同步"))))))))</f>
        <v/>
      </c>
    </row>
    <row r="181">
      <c r="A181" s="5" t="inlineStr">
        <is>
          <t>CASE-0180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>
        <f>IF(COUNTA(C181:D181,F181)=0,"",IF(B181="",IF(E181="",IF(F181="","待填AI应用","待建产品"),IF(COUNTIF('录入字典'!$C$2:$C$200,E181)=0,"AI应用ID无效",IF(F181="","补充AI应用名称",IF(F181&lt;&gt;VLOOKUP(E181,'录入字典'!$C$2:$D$200,2,FALSE),"AI应用名称与ID不一致","可同步")))),IF(COUNTIF('录入字典'!$A$2:$A$200,B181)=0,"场景ID无效",IF(C181&lt;&gt;VLOOKUP(B181,'录入字典'!$A$2:$B$200,2,FALSE),"场景名称与ID不一致",IF(E181="",IF(F181="","待填AI应用","待建产品"),IF(COUNTIF('录入字典'!$C$2:$C$200,E181)=0,"AI应用ID无效",IF(F181="","补充AI应用名称",IF(F181&lt;&gt;VLOOKUP(E181,'录入字典'!$C$2:$D$200,2,FALSE),"AI应用名称与ID不一致","可同步"))))))))</f>
        <v/>
      </c>
    </row>
    <row r="182">
      <c r="A182" s="5" t="inlineStr">
        <is>
          <t>CASE-0181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>
        <f>IF(COUNTA(C182:D182,F182)=0,"",IF(B182="",IF(E182="",IF(F182="","待填AI应用","待建产品"),IF(COUNTIF('录入字典'!$C$2:$C$200,E182)=0,"AI应用ID无效",IF(F182="","补充AI应用名称",IF(F182&lt;&gt;VLOOKUP(E182,'录入字典'!$C$2:$D$200,2,FALSE),"AI应用名称与ID不一致","可同步")))),IF(COUNTIF('录入字典'!$A$2:$A$200,B182)=0,"场景ID无效",IF(C182&lt;&gt;VLOOKUP(B182,'录入字典'!$A$2:$B$200,2,FALSE),"场景名称与ID不一致",IF(E182="",IF(F182="","待填AI应用","待建产品"),IF(COUNTIF('录入字典'!$C$2:$C$200,E182)=0,"AI应用ID无效",IF(F182="","补充AI应用名称",IF(F182&lt;&gt;VLOOKUP(E182,'录入字典'!$C$2:$D$200,2,FALSE),"AI应用名称与ID不一致","可同步"))))))))</f>
        <v/>
      </c>
    </row>
    <row r="183">
      <c r="A183" s="5" t="inlineStr">
        <is>
          <t>CASE-0182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>
        <f>IF(COUNTA(C183:D183,F183)=0,"",IF(B183="",IF(E183="",IF(F183="","待填AI应用","待建产品"),IF(COUNTIF('录入字典'!$C$2:$C$200,E183)=0,"AI应用ID无效",IF(F183="","补充AI应用名称",IF(F183&lt;&gt;VLOOKUP(E183,'录入字典'!$C$2:$D$200,2,FALSE),"AI应用名称与ID不一致","可同步")))),IF(COUNTIF('录入字典'!$A$2:$A$200,B183)=0,"场景ID无效",IF(C183&lt;&gt;VLOOKUP(B183,'录入字典'!$A$2:$B$200,2,FALSE),"场景名称与ID不一致",IF(E183="",IF(F183="","待填AI应用","待建产品"),IF(COUNTIF('录入字典'!$C$2:$C$200,E183)=0,"AI应用ID无效",IF(F183="","补充AI应用名称",IF(F183&lt;&gt;VLOOKUP(E183,'录入字典'!$C$2:$D$200,2,FALSE),"AI应用名称与ID不一致","可同步"))))))))</f>
        <v/>
      </c>
    </row>
    <row r="184">
      <c r="A184" s="5" t="inlineStr">
        <is>
          <t>CASE-0183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>
        <f>IF(COUNTA(C184:D184,F184)=0,"",IF(B184="",IF(E184="",IF(F184="","待填AI应用","待建产品"),IF(COUNTIF('录入字典'!$C$2:$C$200,E184)=0,"AI应用ID无效",IF(F184="","补充AI应用名称",IF(F184&lt;&gt;VLOOKUP(E184,'录入字典'!$C$2:$D$200,2,FALSE),"AI应用名称与ID不一致","可同步")))),IF(COUNTIF('录入字典'!$A$2:$A$200,B184)=0,"场景ID无效",IF(C184&lt;&gt;VLOOKUP(B184,'录入字典'!$A$2:$B$200,2,FALSE),"场景名称与ID不一致",IF(E184="",IF(F184="","待填AI应用","待建产品"),IF(COUNTIF('录入字典'!$C$2:$C$200,E184)=0,"AI应用ID无效",IF(F184="","补充AI应用名称",IF(F184&lt;&gt;VLOOKUP(E184,'录入字典'!$C$2:$D$200,2,FALSE),"AI应用名称与ID不一致","可同步"))))))))</f>
        <v/>
      </c>
    </row>
    <row r="185">
      <c r="A185" s="5" t="inlineStr">
        <is>
          <t>CASE-0184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>
        <f>IF(COUNTA(C185:D185,F185)=0,"",IF(B185="",IF(E185="",IF(F185="","待填AI应用","待建产品"),IF(COUNTIF('录入字典'!$C$2:$C$200,E185)=0,"AI应用ID无效",IF(F185="","补充AI应用名称",IF(F185&lt;&gt;VLOOKUP(E185,'录入字典'!$C$2:$D$200,2,FALSE),"AI应用名称与ID不一致","可同步")))),IF(COUNTIF('录入字典'!$A$2:$A$200,B185)=0,"场景ID无效",IF(C185&lt;&gt;VLOOKUP(B185,'录入字典'!$A$2:$B$200,2,FALSE),"场景名称与ID不一致",IF(E185="",IF(F185="","待填AI应用","待建产品"),IF(COUNTIF('录入字典'!$C$2:$C$200,E185)=0,"AI应用ID无效",IF(F185="","补充AI应用名称",IF(F185&lt;&gt;VLOOKUP(E185,'录入字典'!$C$2:$D$200,2,FALSE),"AI应用名称与ID不一致","可同步"))))))))</f>
        <v/>
      </c>
    </row>
    <row r="186">
      <c r="A186" s="5" t="inlineStr">
        <is>
          <t>CASE-0185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>
        <f>IF(COUNTA(C186:D186,F186)=0,"",IF(B186="",IF(E186="",IF(F186="","待填AI应用","待建产品"),IF(COUNTIF('录入字典'!$C$2:$C$200,E186)=0,"AI应用ID无效",IF(F186="","补充AI应用名称",IF(F186&lt;&gt;VLOOKUP(E186,'录入字典'!$C$2:$D$200,2,FALSE),"AI应用名称与ID不一致","可同步")))),IF(COUNTIF('录入字典'!$A$2:$A$200,B186)=0,"场景ID无效",IF(C186&lt;&gt;VLOOKUP(B186,'录入字典'!$A$2:$B$200,2,FALSE),"场景名称与ID不一致",IF(E186="",IF(F186="","待填AI应用","待建产品"),IF(COUNTIF('录入字典'!$C$2:$C$200,E186)=0,"AI应用ID无效",IF(F186="","补充AI应用名称",IF(F186&lt;&gt;VLOOKUP(E186,'录入字典'!$C$2:$D$200,2,FALSE),"AI应用名称与ID不一致","可同步"))))))))</f>
        <v/>
      </c>
    </row>
    <row r="187">
      <c r="A187" s="5" t="inlineStr">
        <is>
          <t>CASE-0186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>
        <f>IF(COUNTA(C187:D187,F187)=0,"",IF(B187="",IF(E187="",IF(F187="","待填AI应用","待建产品"),IF(COUNTIF('录入字典'!$C$2:$C$200,E187)=0,"AI应用ID无效",IF(F187="","补充AI应用名称",IF(F187&lt;&gt;VLOOKUP(E187,'录入字典'!$C$2:$D$200,2,FALSE),"AI应用名称与ID不一致","可同步")))),IF(COUNTIF('录入字典'!$A$2:$A$200,B187)=0,"场景ID无效",IF(C187&lt;&gt;VLOOKUP(B187,'录入字典'!$A$2:$B$200,2,FALSE),"场景名称与ID不一致",IF(E187="",IF(F187="","待填AI应用","待建产品"),IF(COUNTIF('录入字典'!$C$2:$C$200,E187)=0,"AI应用ID无效",IF(F187="","补充AI应用名称",IF(F187&lt;&gt;VLOOKUP(E187,'录入字典'!$C$2:$D$200,2,FALSE),"AI应用名称与ID不一致","可同步"))))))))</f>
        <v/>
      </c>
    </row>
    <row r="188">
      <c r="A188" s="5" t="inlineStr">
        <is>
          <t>CASE-0187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>
        <f>IF(COUNTA(C188:D188,F188)=0,"",IF(B188="",IF(E188="",IF(F188="","待填AI应用","待建产品"),IF(COUNTIF('录入字典'!$C$2:$C$200,E188)=0,"AI应用ID无效",IF(F188="","补充AI应用名称",IF(F188&lt;&gt;VLOOKUP(E188,'录入字典'!$C$2:$D$200,2,FALSE),"AI应用名称与ID不一致","可同步")))),IF(COUNTIF('录入字典'!$A$2:$A$200,B188)=0,"场景ID无效",IF(C188&lt;&gt;VLOOKUP(B188,'录入字典'!$A$2:$B$200,2,FALSE),"场景名称与ID不一致",IF(E188="",IF(F188="","待填AI应用","待建产品"),IF(COUNTIF('录入字典'!$C$2:$C$200,E188)=0,"AI应用ID无效",IF(F188="","补充AI应用名称",IF(F188&lt;&gt;VLOOKUP(E188,'录入字典'!$C$2:$D$200,2,FALSE),"AI应用名称与ID不一致","可同步"))))))))</f>
        <v/>
      </c>
    </row>
    <row r="189">
      <c r="A189" s="5" t="inlineStr">
        <is>
          <t>CASE-0188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>
        <f>IF(COUNTA(C189:D189,F189)=0,"",IF(B189="",IF(E189="",IF(F189="","待填AI应用","待建产品"),IF(COUNTIF('录入字典'!$C$2:$C$200,E189)=0,"AI应用ID无效",IF(F189="","补充AI应用名称",IF(F189&lt;&gt;VLOOKUP(E189,'录入字典'!$C$2:$D$200,2,FALSE),"AI应用名称与ID不一致","可同步")))),IF(COUNTIF('录入字典'!$A$2:$A$200,B189)=0,"场景ID无效",IF(C189&lt;&gt;VLOOKUP(B189,'录入字典'!$A$2:$B$200,2,FALSE),"场景名称与ID不一致",IF(E189="",IF(F189="","待填AI应用","待建产品"),IF(COUNTIF('录入字典'!$C$2:$C$200,E189)=0,"AI应用ID无效",IF(F189="","补充AI应用名称",IF(F189&lt;&gt;VLOOKUP(E189,'录入字典'!$C$2:$D$200,2,FALSE),"AI应用名称与ID不一致","可同步"))))))))</f>
        <v/>
      </c>
    </row>
    <row r="190">
      <c r="A190" s="5" t="inlineStr">
        <is>
          <t>CASE-0189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>
        <f>IF(COUNTA(C190:D190,F190)=0,"",IF(B190="",IF(E190="",IF(F190="","待填AI应用","待建产品"),IF(COUNTIF('录入字典'!$C$2:$C$200,E190)=0,"AI应用ID无效",IF(F190="","补充AI应用名称",IF(F190&lt;&gt;VLOOKUP(E190,'录入字典'!$C$2:$D$200,2,FALSE),"AI应用名称与ID不一致","可同步")))),IF(COUNTIF('录入字典'!$A$2:$A$200,B190)=0,"场景ID无效",IF(C190&lt;&gt;VLOOKUP(B190,'录入字典'!$A$2:$B$200,2,FALSE),"场景名称与ID不一致",IF(E190="",IF(F190="","待填AI应用","待建产品"),IF(COUNTIF('录入字典'!$C$2:$C$200,E190)=0,"AI应用ID无效",IF(F190="","补充AI应用名称",IF(F190&lt;&gt;VLOOKUP(E190,'录入字典'!$C$2:$D$200,2,FALSE),"AI应用名称与ID不一致","可同步"))))))))</f>
        <v/>
      </c>
    </row>
    <row r="191">
      <c r="A191" s="5" t="inlineStr">
        <is>
          <t>CASE-0190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>
        <f>IF(COUNTA(C191:D191,F191)=0,"",IF(B191="",IF(E191="",IF(F191="","待填AI应用","待建产品"),IF(COUNTIF('录入字典'!$C$2:$C$200,E191)=0,"AI应用ID无效",IF(F191="","补充AI应用名称",IF(F191&lt;&gt;VLOOKUP(E191,'录入字典'!$C$2:$D$200,2,FALSE),"AI应用名称与ID不一致","可同步")))),IF(COUNTIF('录入字典'!$A$2:$A$200,B191)=0,"场景ID无效",IF(C191&lt;&gt;VLOOKUP(B191,'录入字典'!$A$2:$B$200,2,FALSE),"场景名称与ID不一致",IF(E191="",IF(F191="","待填AI应用","待建产品"),IF(COUNTIF('录入字典'!$C$2:$C$200,E191)=0,"AI应用ID无效",IF(F191="","补充AI应用名称",IF(F191&lt;&gt;VLOOKUP(E191,'录入字典'!$C$2:$D$200,2,FALSE),"AI应用名称与ID不一致","可同步"))))))))</f>
        <v/>
      </c>
    </row>
    <row r="192">
      <c r="A192" s="5" t="inlineStr">
        <is>
          <t>CASE-0191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>
        <f>IF(COUNTA(C192:D192,F192)=0,"",IF(B192="",IF(E192="",IF(F192="","待填AI应用","待建产品"),IF(COUNTIF('录入字典'!$C$2:$C$200,E192)=0,"AI应用ID无效",IF(F192="","补充AI应用名称",IF(F192&lt;&gt;VLOOKUP(E192,'录入字典'!$C$2:$D$200,2,FALSE),"AI应用名称与ID不一致","可同步")))),IF(COUNTIF('录入字典'!$A$2:$A$200,B192)=0,"场景ID无效",IF(C192&lt;&gt;VLOOKUP(B192,'录入字典'!$A$2:$B$200,2,FALSE),"场景名称与ID不一致",IF(E192="",IF(F192="","待填AI应用","待建产品"),IF(COUNTIF('录入字典'!$C$2:$C$200,E192)=0,"AI应用ID无效",IF(F192="","补充AI应用名称",IF(F192&lt;&gt;VLOOKUP(E192,'录入字典'!$C$2:$D$200,2,FALSE),"AI应用名称与ID不一致","可同步"))))))))</f>
        <v/>
      </c>
    </row>
    <row r="193">
      <c r="A193" s="5" t="inlineStr">
        <is>
          <t>CASE-0192</t>
        </is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>
        <f>IF(COUNTA(C193:D193,F193)=0,"",IF(B193="",IF(E193="",IF(F193="","待填AI应用","待建产品"),IF(COUNTIF('录入字典'!$C$2:$C$200,E193)=0,"AI应用ID无效",IF(F193="","补充AI应用名称",IF(F193&lt;&gt;VLOOKUP(E193,'录入字典'!$C$2:$D$200,2,FALSE),"AI应用名称与ID不一致","可同步")))),IF(COUNTIF('录入字典'!$A$2:$A$200,B193)=0,"场景ID无效",IF(C193&lt;&gt;VLOOKUP(B193,'录入字典'!$A$2:$B$200,2,FALSE),"场景名称与ID不一致",IF(E193="",IF(F193="","待填AI应用","待建产品"),IF(COUNTIF('录入字典'!$C$2:$C$200,E193)=0,"AI应用ID无效",IF(F193="","补充AI应用名称",IF(F193&lt;&gt;VLOOKUP(E193,'录入字典'!$C$2:$D$200,2,FALSE),"AI应用名称与ID不一致","可同步"))))))))</f>
        <v/>
      </c>
    </row>
    <row r="194">
      <c r="A194" s="5" t="inlineStr">
        <is>
          <t>CASE-0193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>
        <f>IF(COUNTA(C194:D194,F194)=0,"",IF(B194="",IF(E194="",IF(F194="","待填AI应用","待建产品"),IF(COUNTIF('录入字典'!$C$2:$C$200,E194)=0,"AI应用ID无效",IF(F194="","补充AI应用名称",IF(F194&lt;&gt;VLOOKUP(E194,'录入字典'!$C$2:$D$200,2,FALSE),"AI应用名称与ID不一致","可同步")))),IF(COUNTIF('录入字典'!$A$2:$A$200,B194)=0,"场景ID无效",IF(C194&lt;&gt;VLOOKUP(B194,'录入字典'!$A$2:$B$200,2,FALSE),"场景名称与ID不一致",IF(E194="",IF(F194="","待填AI应用","待建产品"),IF(COUNTIF('录入字典'!$C$2:$C$200,E194)=0,"AI应用ID无效",IF(F194="","补充AI应用名称",IF(F194&lt;&gt;VLOOKUP(E194,'录入字典'!$C$2:$D$200,2,FALSE),"AI应用名称与ID不一致","可同步"))))))))</f>
        <v/>
      </c>
    </row>
    <row r="195">
      <c r="A195" s="5" t="inlineStr">
        <is>
          <t>CASE-0194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>
        <f>IF(COUNTA(C195:D195,F195)=0,"",IF(B195="",IF(E195="",IF(F195="","待填AI应用","待建产品"),IF(COUNTIF('录入字典'!$C$2:$C$200,E195)=0,"AI应用ID无效",IF(F195="","补充AI应用名称",IF(F195&lt;&gt;VLOOKUP(E195,'录入字典'!$C$2:$D$200,2,FALSE),"AI应用名称与ID不一致","可同步")))),IF(COUNTIF('录入字典'!$A$2:$A$200,B195)=0,"场景ID无效",IF(C195&lt;&gt;VLOOKUP(B195,'录入字典'!$A$2:$B$200,2,FALSE),"场景名称与ID不一致",IF(E195="",IF(F195="","待填AI应用","待建产品"),IF(COUNTIF('录入字典'!$C$2:$C$200,E195)=0,"AI应用ID无效",IF(F195="","补充AI应用名称",IF(F195&lt;&gt;VLOOKUP(E195,'录入字典'!$C$2:$D$200,2,FALSE),"AI应用名称与ID不一致","可同步"))))))))</f>
        <v/>
      </c>
    </row>
    <row r="196">
      <c r="A196" s="5" t="inlineStr">
        <is>
          <t>CASE-0195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>
        <f>IF(COUNTA(C196:D196,F196)=0,"",IF(B196="",IF(E196="",IF(F196="","待填AI应用","待建产品"),IF(COUNTIF('录入字典'!$C$2:$C$200,E196)=0,"AI应用ID无效",IF(F196="","补充AI应用名称",IF(F196&lt;&gt;VLOOKUP(E196,'录入字典'!$C$2:$D$200,2,FALSE),"AI应用名称与ID不一致","可同步")))),IF(COUNTIF('录入字典'!$A$2:$A$200,B196)=0,"场景ID无效",IF(C196&lt;&gt;VLOOKUP(B196,'录入字典'!$A$2:$B$200,2,FALSE),"场景名称与ID不一致",IF(E196="",IF(F196="","待填AI应用","待建产品"),IF(COUNTIF('录入字典'!$C$2:$C$200,E196)=0,"AI应用ID无效",IF(F196="","补充AI应用名称",IF(F196&lt;&gt;VLOOKUP(E196,'录入字典'!$C$2:$D$200,2,FALSE),"AI应用名称与ID不一致","可同步"))))))))</f>
        <v/>
      </c>
    </row>
    <row r="197">
      <c r="A197" s="5" t="inlineStr">
        <is>
          <t>CASE-0196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>
        <f>IF(COUNTA(C197:D197,F197)=0,"",IF(B197="",IF(E197="",IF(F197="","待填AI应用","待建产品"),IF(COUNTIF('录入字典'!$C$2:$C$200,E197)=0,"AI应用ID无效",IF(F197="","补充AI应用名称",IF(F197&lt;&gt;VLOOKUP(E197,'录入字典'!$C$2:$D$200,2,FALSE),"AI应用名称与ID不一致","可同步")))),IF(COUNTIF('录入字典'!$A$2:$A$200,B197)=0,"场景ID无效",IF(C197&lt;&gt;VLOOKUP(B197,'录入字典'!$A$2:$B$200,2,FALSE),"场景名称与ID不一致",IF(E197="",IF(F197="","待填AI应用","待建产品"),IF(COUNTIF('录入字典'!$C$2:$C$200,E197)=0,"AI应用ID无效",IF(F197="","补充AI应用名称",IF(F197&lt;&gt;VLOOKUP(E197,'录入字典'!$C$2:$D$200,2,FALSE),"AI应用名称与ID不一致","可同步"))))))))</f>
        <v/>
      </c>
    </row>
    <row r="198">
      <c r="A198" s="5" t="inlineStr">
        <is>
          <t>CASE-0197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>
        <f>IF(COUNTA(C198:D198,F198)=0,"",IF(B198="",IF(E198="",IF(F198="","待填AI应用","待建产品"),IF(COUNTIF('录入字典'!$C$2:$C$200,E198)=0,"AI应用ID无效",IF(F198="","补充AI应用名称",IF(F198&lt;&gt;VLOOKUP(E198,'录入字典'!$C$2:$D$200,2,FALSE),"AI应用名称与ID不一致","可同步")))),IF(COUNTIF('录入字典'!$A$2:$A$200,B198)=0,"场景ID无效",IF(C198&lt;&gt;VLOOKUP(B198,'录入字典'!$A$2:$B$200,2,FALSE),"场景名称与ID不一致",IF(E198="",IF(F198="","待填AI应用","待建产品"),IF(COUNTIF('录入字典'!$C$2:$C$200,E198)=0,"AI应用ID无效",IF(F198="","补充AI应用名称",IF(F198&lt;&gt;VLOOKUP(E198,'录入字典'!$C$2:$D$200,2,FALSE),"AI应用名称与ID不一致","可同步"))))))))</f>
        <v/>
      </c>
    </row>
    <row r="199">
      <c r="A199" s="5" t="inlineStr">
        <is>
          <t>CASE-0198</t>
        </is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>
        <f>IF(COUNTA(C199:D199,F199)=0,"",IF(B199="",IF(E199="",IF(F199="","待填AI应用","待建产品"),IF(COUNTIF('录入字典'!$C$2:$C$200,E199)=0,"AI应用ID无效",IF(F199="","补充AI应用名称",IF(F199&lt;&gt;VLOOKUP(E199,'录入字典'!$C$2:$D$200,2,FALSE),"AI应用名称与ID不一致","可同步")))),IF(COUNTIF('录入字典'!$A$2:$A$200,B199)=0,"场景ID无效",IF(C199&lt;&gt;VLOOKUP(B199,'录入字典'!$A$2:$B$200,2,FALSE),"场景名称与ID不一致",IF(E199="",IF(F199="","待填AI应用","待建产品"),IF(COUNTIF('录入字典'!$C$2:$C$200,E199)=0,"AI应用ID无效",IF(F199="","补充AI应用名称",IF(F199&lt;&gt;VLOOKUP(E199,'录入字典'!$C$2:$D$200,2,FALSE),"AI应用名称与ID不一致","可同步"))))))))</f>
        <v/>
      </c>
    </row>
    <row r="200">
      <c r="A200" s="5" t="inlineStr">
        <is>
          <t>CASE-0199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>
        <f>IF(COUNTA(C200:D200,F200)=0,"",IF(B200="",IF(E200="",IF(F200="","待填AI应用","待建产品"),IF(COUNTIF('录入字典'!$C$2:$C$200,E200)=0,"AI应用ID无效",IF(F200="","补充AI应用名称",IF(F200&lt;&gt;VLOOKUP(E200,'录入字典'!$C$2:$D$200,2,FALSE),"AI应用名称与ID不一致","可同步")))),IF(COUNTIF('录入字典'!$A$2:$A$200,B200)=0,"场景ID无效",IF(C200&lt;&gt;VLOOKUP(B200,'录入字典'!$A$2:$B$200,2,FALSE),"场景名称与ID不一致",IF(E200="",IF(F200="","待填AI应用","待建产品"),IF(COUNTIF('录入字典'!$C$2:$C$200,E200)=0,"AI应用ID无效",IF(F200="","补充AI应用名称",IF(F200&lt;&gt;VLOOKUP(E200,'录入字典'!$C$2:$D$200,2,FALSE),"AI应用名称与ID不一致","可同步"))))))))</f>
        <v/>
      </c>
    </row>
    <row r="201">
      <c r="A201" s="5" t="inlineStr">
        <is>
          <t>CASE-0200</t>
        </is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>
        <f>IF(COUNTA(C201:D201,F201)=0,"",IF(B201="",IF(E201="",IF(F201="","待填AI应用","待建产品"),IF(COUNTIF('录入字典'!$C$2:$C$200,E201)=0,"AI应用ID无效",IF(F201="","补充AI应用名称",IF(F201&lt;&gt;VLOOKUP(E201,'录入字典'!$C$2:$D$200,2,FALSE),"AI应用名称与ID不一致","可同步")))),IF(COUNTIF('录入字典'!$A$2:$A$200,B201)=0,"场景ID无效",IF(C201&lt;&gt;VLOOKUP(B201,'录入字典'!$A$2:$B$200,2,FALSE),"场景名称与ID不一致",IF(E201="",IF(F201="","待填AI应用","待建产品"),IF(COUNTIF('录入字典'!$C$2:$C$200,E201)=0,"AI应用ID无效",IF(F201="","补充AI应用名称",IF(F201&lt;&gt;VLOOKUP(E201,'录入字典'!$C$2:$D$200,2,FALSE),"AI应用名称与ID不一致","可同步"))))))))</f>
        <v/>
      </c>
    </row>
  </sheetData>
  <autoFilter ref="A1:K201"/>
  <dataValidations count="2">
    <dataValidation sqref="B2:B201" showDropDown="0" showInputMessage="0" showErrorMessage="0" allowBlank="1" type="list">
      <formula1>'录入字典'!$A$2:$A$200</formula1>
    </dataValidation>
    <dataValidation sqref="E2:E201" showDropDown="0" showInputMessage="0" showErrorMessage="0" allowBlank="1" type="list">
      <formula1>'录入字典'!$C$2:$C$200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0"/>
  <sheetViews>
    <sheetView showGridLines="0" workbookViewId="0">
      <pane ySplit="1" topLeftCell="A2" activePane="bottomLeft" state="frozen"/>
      <selection activeCell="A1" sqref="A1"/>
      <selection pane="bottomLeft" activeCell="B2" sqref="B2"/>
    </sheetView>
  </sheetViews>
  <sheetFormatPr baseColWidth="8" defaultColWidth="9" defaultRowHeight="16.8"/>
  <cols>
    <col width="12" customWidth="1" min="1" max="1"/>
    <col width="47.4230769230769" customWidth="1" min="2" max="2"/>
    <col width="36" customWidth="1" min="3" max="5"/>
    <col width="26" customWidth="1" min="6" max="6"/>
    <col width="13" customWidth="1" min="7" max="7"/>
    <col width="14" customWidth="1" min="8" max="8"/>
    <col width="17" customWidth="1" min="9" max="9"/>
    <col width="12" customWidth="1" min="10" max="16"/>
    <col width="30" customWidth="1" min="17" max="17"/>
  </cols>
  <sheetData>
    <row r="1" ht="30" customHeight="1">
      <c r="A1" s="1" t="inlineStr">
        <is>
          <t>场景ID</t>
        </is>
      </c>
      <c r="B1" s="1" t="inlineStr">
        <is>
          <t>场景名称</t>
        </is>
      </c>
      <c r="C1" t="inlineStr">
        <is>
          <t>工作目标</t>
        </is>
      </c>
      <c r="D1" s="1" t="inlineStr">
        <is>
          <t>卡片短描述</t>
        </is>
      </c>
      <c r="E1" s="1" t="inlineStr">
        <is>
          <t>问题描述</t>
        </is>
      </c>
      <c r="F1" s="1" t="inlineStr">
        <is>
          <t>场景说明</t>
        </is>
      </c>
      <c r="G1" s="1" t="inlineStr">
        <is>
          <t>预期价值</t>
        </is>
      </c>
      <c r="H1" s="1" t="inlineStr">
        <is>
          <t>适用行业</t>
        </is>
      </c>
      <c r="I1" s="1" t="inlineStr">
        <is>
          <t>适用角色</t>
        </is>
      </c>
      <c r="J1" s="1" t="inlineStr">
        <is>
          <t>场景标签</t>
        </is>
      </c>
      <c r="K1" s="1" t="inlineStr">
        <is>
          <t>封面类型</t>
        </is>
      </c>
      <c r="L1" s="1" t="inlineStr">
        <is>
          <t>封面图片</t>
        </is>
      </c>
      <c r="M1" s="1" t="inlineStr">
        <is>
          <t>客户案例</t>
        </is>
      </c>
      <c r="N1" s="1" t="inlineStr">
        <is>
          <t>量化结果</t>
        </is>
      </c>
      <c r="O1" s="1" t="inlineStr">
        <is>
          <t>是否推荐</t>
        </is>
      </c>
      <c r="P1" s="1" t="inlineStr">
        <is>
          <t>推荐排序</t>
        </is>
      </c>
      <c r="Q1" s="1" t="inlineStr">
        <is>
          <t>内容状态</t>
        </is>
      </c>
      <c r="R1" s="1" t="inlineStr">
        <is>
          <t>真实性备注</t>
        </is>
      </c>
    </row>
    <row r="2" ht="68" customHeight="1">
      <c r="A2" t="inlineStr">
        <is>
          <t>S001</t>
        </is>
      </c>
      <c r="B2" t="inlineStr">
        <is>
          <t>补全客户信息</t>
        </is>
      </c>
      <c r="C2" t="inlineStr">
        <is>
          <t>信息提取与补全</t>
        </is>
      </c>
      <c r="D2" t="inlineStr">
        <is>
          <t>AI 节点自动从会议纪要、邮件中提取关键信息，一键回填到飞书项目字段，无需手动逐条录入。</t>
        </is>
      </c>
      <c r="E2" t="inlineStr">
        <is>
          <t>当前“补全客户信息”依赖人工读取材料、判断规则并执行后续操作，处理效率和结果一致性容易受个人经验影响。</t>
        </is>
      </c>
      <c r="F2" t="inlineStr">
        <is>
          <t>需求评审后，AI 节点自动从会议纪要、邮件中提取关键信息，一键回填到飞书项目字段，无需手动逐条录入。</t>
        </is>
      </c>
      <c r="G2" t="inlineStr">
        <is>
          <t>减少人工处理｜统一输出结构｜降低信息遗漏</t>
        </is>
      </c>
      <c r="H2" t="inlineStr">
        <is>
          <t>互联网</t>
        </is>
      </c>
      <c r="I2" t="inlineStr">
        <is>
          <t>产品经理</t>
        </is>
      </c>
      <c r="J2" t="inlineStr">
        <is>
          <t>信息提取｜自动回填</t>
        </is>
      </c>
      <c r="K2" t="inlineStr">
        <is>
          <t>流程节点</t>
        </is>
      </c>
      <c r="L2" t="inlineStr">
        <is>
          <t>https://aka.doubaocdn.com/s/IMKcg667UN</t>
        </is>
      </c>
      <c r="O2" t="inlineStr">
        <is>
          <t>是</t>
        </is>
      </c>
      <c r="P2" t="n">
        <v>1</v>
      </c>
      <c r="Q2" t="inlineStr">
        <is>
          <t>模拟待校准</t>
        </is>
      </c>
      <c r="R2" t="inlineStr">
        <is>
          <t>来源：用户筛选 CSV 序号 1；场景名称和描述已按流程节点口径整理。</t>
        </is>
      </c>
    </row>
    <row r="3" ht="51" customHeight="1">
      <c r="A3" t="inlineStr">
        <is>
          <t>S002</t>
        </is>
      </c>
      <c r="B3" t="inlineStr">
        <is>
          <t>拆解会议任务</t>
        </is>
      </c>
      <c r="C3" t="inlineStr">
        <is>
          <t>计划拆解与协同</t>
        </is>
      </c>
      <c r="D3" t="inlineStr">
        <is>
          <t>AI 节点自动提取所有待办项和决策要点，一键生成飞书项目子任务并关联到对应工作项，从讨论到执行无缝衔接。</t>
        </is>
      </c>
      <c r="E3" t="inlineStr">
        <is>
          <t>当前“拆解会议任务”依赖人工读取材料、判断规则并执行后续操作，处理效率和结果一致性容易受个人经验影响。</t>
        </is>
      </c>
      <c r="F3" t="inlineStr">
        <is>
          <t>需求评审会结束后，AI 节点自动提取所有待办项和决策要点，一键生成飞书项目子任务并关联到对应工作项，从讨论到执行无缝衔接。</t>
        </is>
      </c>
      <c r="G3" t="inlineStr">
        <is>
          <t>统一拆解口径｜减少遗漏｜加快进入执行</t>
        </is>
      </c>
      <c r="H3" t="inlineStr">
        <is>
          <t>互联网</t>
        </is>
      </c>
      <c r="I3" t="inlineStr">
        <is>
          <t>项目经理</t>
        </is>
      </c>
      <c r="J3" t="inlineStr">
        <is>
          <t>会议分析｜自动建单</t>
        </is>
      </c>
      <c r="K3" t="inlineStr">
        <is>
          <t>流程节点</t>
        </is>
      </c>
      <c r="L3" t="inlineStr">
        <is>
          <t>https://aka.doubaocdn.com/s/cqI7oo1jGy</t>
        </is>
      </c>
      <c r="O3" t="inlineStr">
        <is>
          <t>是</t>
        </is>
      </c>
      <c r="P3" t="n">
        <v>2</v>
      </c>
      <c r="Q3" t="inlineStr">
        <is>
          <t>模拟待校准</t>
        </is>
      </c>
      <c r="R3" t="inlineStr">
        <is>
          <t>来源：用户筛选 CSV 序号 2；场景名称和描述已按流程节点口径整理。</t>
        </is>
      </c>
    </row>
    <row r="4" ht="51" customHeight="1">
      <c r="A4" t="inlineStr">
        <is>
          <t>S003</t>
        </is>
      </c>
      <c r="B4" t="inlineStr">
        <is>
          <t>创建外部工单</t>
        </is>
      </c>
      <c r="C4" t="inlineStr">
        <is>
          <t>分类分派与流转</t>
        </is>
      </c>
      <c r="D4" t="inlineStr">
        <is>
          <t>客服系统、邮件、飞书群中的用户反馈，AI 节点自动识别并创建为标准工单，无需人工逐个录入，大幅提升工单处理效率。</t>
        </is>
      </c>
      <c r="E4" t="inlineStr">
        <is>
          <t>当前“创建外部工单”依赖人工读取材料、判断规则并执行后续操作，处理效率和结果一致性容易受个人经验影响。</t>
        </is>
      </c>
      <c r="F4" t="inlineStr">
        <is>
          <t>客服系统、邮件、飞书群中的用户反馈，AI 节点自动识别并创建为标准工单，无需人工逐个录入，大幅提升工单处理效率。</t>
        </is>
      </c>
      <c r="G4" t="inlineStr">
        <is>
          <t>减少人工处理｜统一输出结构｜降低信息遗漏</t>
        </is>
      </c>
      <c r="H4" t="inlineStr">
        <is>
          <t>医疗</t>
        </is>
      </c>
      <c r="I4" t="inlineStr">
        <is>
          <t>运营</t>
        </is>
      </c>
      <c r="J4" t="inlineStr">
        <is>
          <t>工单识别｜自动建单</t>
        </is>
      </c>
      <c r="K4" t="inlineStr">
        <is>
          <t>流程节点</t>
        </is>
      </c>
      <c r="L4" t="inlineStr">
        <is>
          <t>https://aka.doubaocdn.com/s/OJkgxeTgKd</t>
        </is>
      </c>
      <c r="O4" t="inlineStr">
        <is>
          <t>是</t>
        </is>
      </c>
      <c r="P4" t="n">
        <v>3</v>
      </c>
      <c r="Q4" t="inlineStr">
        <is>
          <t>模拟待校准</t>
        </is>
      </c>
      <c r="R4" t="inlineStr">
        <is>
          <t>来源：用户筛选 CSV 序号 3；场景名称和描述已按流程节点口径整理。</t>
        </is>
      </c>
    </row>
    <row r="5" ht="68" customHeight="1">
      <c r="A5" t="inlineStr">
        <is>
          <t>S004</t>
        </is>
      </c>
      <c r="B5" t="inlineStr">
        <is>
          <t>创建邮件任务</t>
        </is>
      </c>
      <c r="C5" t="inlineStr">
        <is>
          <t>计划拆解与协同</t>
        </is>
      </c>
      <c r="D5" t="inlineStr">
        <is>
          <t>客户或合作方通过邮件提交的需求，AI 节点自动解析邮件内容并生成飞书项目工作项，避免遗漏重要邮件中的待办事项。</t>
        </is>
      </c>
      <c r="E5" t="inlineStr">
        <is>
          <t>当前“创建邮件任务”依赖人工读取材料、判断规则并执行后续操作，处理效率和结果一致性容易受个人经验影响。</t>
        </is>
      </c>
      <c r="F5" t="inlineStr">
        <is>
          <t>客户或合作方通过邮件提交的需求，AI 节点自动解析邮件内容并生成飞书项目工作项，避免遗漏重要邮件中的待办事项。</t>
        </is>
      </c>
      <c r="G5" t="inlineStr">
        <is>
          <t>减少人工处理｜统一输出结构｜降低信息遗漏</t>
        </is>
      </c>
      <c r="H5" t="inlineStr">
        <is>
          <t>互联网</t>
        </is>
      </c>
      <c r="I5" t="inlineStr">
        <is>
          <t>产品经理</t>
        </is>
      </c>
      <c r="J5" t="inlineStr">
        <is>
          <t>邮件解析｜自动建单</t>
        </is>
      </c>
      <c r="K5" t="inlineStr">
        <is>
          <t>流程节点</t>
        </is>
      </c>
      <c r="L5" t="inlineStr">
        <is>
          <t>https://aka.doubaocdn.com/s/bv0qSfwVgG</t>
        </is>
      </c>
      <c r="O5" t="inlineStr">
        <is>
          <t>是</t>
        </is>
      </c>
      <c r="P5" t="n">
        <v>4</v>
      </c>
      <c r="Q5" t="inlineStr">
        <is>
          <t>模拟待校准</t>
        </is>
      </c>
      <c r="R5" t="inlineStr">
        <is>
          <t>来源：用户筛选 CSV 序号 4；场景名称和描述已按流程节点口径整理。</t>
        </is>
      </c>
    </row>
    <row r="6" ht="68" customHeight="1">
      <c r="A6" t="inlineStr">
        <is>
          <t>S005</t>
        </is>
      </c>
      <c r="B6" t="inlineStr">
        <is>
          <t>提取合同条款</t>
        </is>
      </c>
      <c r="C6" t="inlineStr">
        <is>
          <t>信息提取与补全</t>
        </is>
      </c>
      <c r="D6" t="inlineStr">
        <is>
          <t>AI 节点自动提取金额、期限、违约责任等关键条款，结构化录入到工作项字段，减少人工核对时间。</t>
        </is>
      </c>
      <c r="E6" t="inlineStr">
        <is>
          <t>当前“提取合同条款”依赖人工读取材料、判断规则并执行后续操作，处理效率和结果一致性容易受个人经验影响。</t>
        </is>
      </c>
      <c r="F6" t="inlineStr">
        <is>
          <t>上传合同文件后，AI 节点自动提取金额、期限、违约责任等关键条款，结构化录入到工作项字段，减少人工核对时间。</t>
        </is>
      </c>
      <c r="G6" t="inlineStr">
        <is>
          <t>减少人工处理｜统一输出结构｜降低信息遗漏</t>
        </is>
      </c>
      <c r="H6" t="inlineStr">
        <is>
          <t>金融</t>
        </is>
      </c>
      <c r="I6" t="inlineStr">
        <is>
          <t>销售</t>
        </is>
      </c>
      <c r="J6" t="inlineStr">
        <is>
          <t>合同解析｜条款提取</t>
        </is>
      </c>
      <c r="K6" t="inlineStr">
        <is>
          <t>流程节点</t>
        </is>
      </c>
      <c r="L6" t="inlineStr">
        <is>
          <t>https://aka.doubaocdn.com/s/DJabXgkph8</t>
        </is>
      </c>
      <c r="O6" t="inlineStr">
        <is>
          <t>是</t>
        </is>
      </c>
      <c r="P6" t="n">
        <v>5</v>
      </c>
      <c r="Q6" t="inlineStr">
        <is>
          <t>模拟待校准</t>
        </is>
      </c>
      <c r="R6" t="inlineStr">
        <is>
          <t>来源：用户筛选 CSV 序号 5；场景名称和描述已按流程节点口径整理。</t>
        </is>
      </c>
    </row>
    <row r="7" ht="51" customHeight="1">
      <c r="A7" t="inlineStr">
        <is>
          <t>S006</t>
        </is>
      </c>
      <c r="B7" t="inlineStr">
        <is>
          <t>分类客户反馈</t>
        </is>
      </c>
      <c r="C7" t="inlineStr">
        <is>
          <t>分类分派与流转</t>
        </is>
      </c>
      <c r="D7" t="inlineStr">
        <is>
          <t>AI 节点自动判断是 Bug、需求还是咨询，秒级路由到对应模块，减少人工分类和转派时间。</t>
        </is>
      </c>
      <c r="E7" t="inlineStr">
        <is>
          <t>当前“分类客户反馈”依赖人工读取材料、判断规则并执行后续操作，处理效率和结果一致性容易受个人经验影响。</t>
        </is>
      </c>
      <c r="F7" t="inlineStr">
        <is>
          <t>客服收到用户反馈后，AI 节点自动判断是 Bug、需求还是咨询，秒级路由到对应模块，减少人工分类和转派时间。</t>
        </is>
      </c>
      <c r="G7" t="inlineStr">
        <is>
          <t>缩短流转时间｜提升判断一致性｜减少人工分派</t>
        </is>
      </c>
      <c r="H7" t="inlineStr">
        <is>
          <t>游戏</t>
        </is>
      </c>
      <c r="I7" t="inlineStr">
        <is>
          <t>运营</t>
        </is>
      </c>
      <c r="J7" t="inlineStr">
        <is>
          <t>语义分类｜自动路由</t>
        </is>
      </c>
      <c r="K7" t="inlineStr">
        <is>
          <t>流程节点</t>
        </is>
      </c>
      <c r="L7" t="inlineStr">
        <is>
          <t>https://aka.doubaocdn.com/s/OJkgxeTgKd</t>
        </is>
      </c>
      <c r="O7" t="inlineStr">
        <is>
          <t>是</t>
        </is>
      </c>
      <c r="P7" t="n">
        <v>6</v>
      </c>
      <c r="Q7" t="inlineStr">
        <is>
          <t>模拟待校准</t>
        </is>
      </c>
      <c r="R7" t="inlineStr">
        <is>
          <t>来源：用户筛选 CSV 序号 6；场景名称和描述已按流程节点口径整理。</t>
        </is>
      </c>
    </row>
    <row r="8" ht="51" customHeight="1">
      <c r="A8" t="inlineStr">
        <is>
          <t>S007</t>
        </is>
      </c>
      <c r="B8" t="inlineStr">
        <is>
          <t>分派研发需求</t>
        </is>
      </c>
      <c r="C8" t="inlineStr">
        <is>
          <t>分类分派与流转</t>
        </is>
      </c>
      <c r="D8" t="inlineStr">
        <is>
          <t>新需求进入开发阶段时，AI 节点自动匹配最合适的开发人员，兼顾技能匹配度和当前工作负载，避免忙闲不均，减少人工派单时间。</t>
        </is>
      </c>
      <c r="E8" t="inlineStr">
        <is>
          <t>当前“分派研发需求”依赖人工读取材料、判断规则并执行后续操作，处理效率和结果一致性容易受个人经验影响。</t>
        </is>
      </c>
      <c r="F8" t="inlineStr">
        <is>
          <t>新需求进入开发阶段时，AI 节点自动匹配最合适的开发人员，兼顾技能匹配度和当前工作负载，避免忙闲不均，减少人工派单时间。</t>
        </is>
      </c>
      <c r="G8" t="inlineStr">
        <is>
          <t>缩短流转时间｜提升判断一致性｜减少人工分派</t>
        </is>
      </c>
      <c r="H8" t="inlineStr">
        <is>
          <t>互联网</t>
        </is>
      </c>
      <c r="I8" t="inlineStr">
        <is>
          <t>项目经理</t>
        </is>
      </c>
      <c r="J8" t="inlineStr">
        <is>
          <t>技能匹配｜负载均衡</t>
        </is>
      </c>
      <c r="K8" t="inlineStr">
        <is>
          <t>流程节点</t>
        </is>
      </c>
      <c r="L8" t="inlineStr">
        <is>
          <t>https://aka.doubaocdn.com/s/nvmVJKYDTY</t>
        </is>
      </c>
      <c r="O8" t="inlineStr">
        <is>
          <t>是</t>
        </is>
      </c>
      <c r="P8" t="n">
        <v>7</v>
      </c>
      <c r="Q8" t="inlineStr">
        <is>
          <t>模拟待校准</t>
        </is>
      </c>
      <c r="R8" t="inlineStr">
        <is>
          <t>来源：用户筛选 CSV 序号 7；场景名称和描述已按流程节点口径整理。</t>
        </is>
      </c>
    </row>
    <row r="9" ht="51" customHeight="1">
      <c r="A9" t="inlineStr">
        <is>
          <t>S008</t>
        </is>
      </c>
      <c r="B9" t="inlineStr">
        <is>
          <t>评定缺陷等级</t>
        </is>
      </c>
      <c r="C9" t="inlineStr">
        <is>
          <t>质量检查与审核</t>
        </is>
      </c>
      <c r="D9" t="inlineStr">
        <is>
          <t>测试提交 Bug 后，AI 根据严重程度、影响范围和修复成本自动分级，并推荐对应的处理人。</t>
        </is>
      </c>
      <c r="E9" t="inlineStr">
        <is>
          <t>当前“评定缺陷等级”依赖人工读取材料、判断规则并执行后续操作，处理效率和结果一致性容易受个人经验影响。</t>
        </is>
      </c>
      <c r="F9" t="inlineStr">
        <is>
          <t>测试提交 Bug 后，AI 根据严重程度、影响范围和修复成本自动分级，并推荐对应的处理人。</t>
        </is>
      </c>
      <c r="G9" t="inlineStr">
        <is>
          <t>缩短流转时间｜提升判断一致性｜减少人工分派</t>
        </is>
      </c>
      <c r="H9" t="inlineStr">
        <is>
          <t>游戏</t>
        </is>
      </c>
      <c r="I9" t="inlineStr">
        <is>
          <t>测试</t>
        </is>
      </c>
      <c r="J9" t="inlineStr">
        <is>
          <t>严重度分级｜自动指派</t>
        </is>
      </c>
      <c r="K9" t="inlineStr">
        <is>
          <t>流程节点</t>
        </is>
      </c>
      <c r="L9" t="inlineStr">
        <is>
          <t>https://aka.doubaocdn.com/s/CvvUzmrizE</t>
        </is>
      </c>
      <c r="O9" t="inlineStr">
        <is>
          <t>是</t>
        </is>
      </c>
      <c r="P9" t="n">
        <v>8</v>
      </c>
      <c r="Q9" t="inlineStr">
        <is>
          <t>模拟待校准</t>
        </is>
      </c>
      <c r="R9" t="inlineStr">
        <is>
          <t>来源：用户筛选 CSV 序号 8；场景名称和描述已按流程节点口径整理。</t>
        </is>
      </c>
    </row>
    <row r="10" ht="51" customHeight="1">
      <c r="A10" t="inlineStr">
        <is>
          <t>S009</t>
        </is>
      </c>
      <c r="B10" t="inlineStr">
        <is>
          <t>分流客服工单</t>
        </is>
      </c>
      <c r="C10" t="inlineStr">
        <is>
          <t>分类分派与流转</t>
        </is>
      </c>
      <c r="D10" t="inlineStr">
        <is>
          <t>电商平台的客服工单根据产品线、问题类型和用户等级自动分流到对应处理组，SLA 超时自动升级。</t>
        </is>
      </c>
      <c r="E10" t="inlineStr">
        <is>
          <t>当前“分流客服工单”依赖人工读取材料、判断规则并执行后续操作，处理效率和结果一致性容易受个人经验影响。</t>
        </is>
      </c>
      <c r="F10" t="inlineStr">
        <is>
          <t>电商平台的客服工单根据产品线、问题类型和用户等级自动分流到对应处理组，SLA 超时自动升级。</t>
        </is>
      </c>
      <c r="G10" t="inlineStr">
        <is>
          <t>缩短流转时间｜提升判断一致性｜减少人工分派</t>
        </is>
      </c>
      <c r="H10" t="inlineStr">
        <is>
          <t>零售</t>
        </is>
      </c>
      <c r="I10" t="inlineStr">
        <is>
          <t>运营</t>
        </is>
      </c>
      <c r="J10" t="inlineStr">
        <is>
          <t>多级分流｜SLA 管控</t>
        </is>
      </c>
      <c r="K10" t="inlineStr">
        <is>
          <t>流程节点</t>
        </is>
      </c>
      <c r="L10" t="inlineStr">
        <is>
          <t>https://aka.doubaocdn.com/s/RAu5lPDwZP</t>
        </is>
      </c>
      <c r="O10" t="inlineStr">
        <is>
          <t>是</t>
        </is>
      </c>
      <c r="P10" t="n">
        <v>9</v>
      </c>
      <c r="Q10" t="inlineStr">
        <is>
          <t>模拟待校准</t>
        </is>
      </c>
      <c r="R10" t="inlineStr">
        <is>
          <t>来源：用户筛选 CSV 序号 9；场景名称和描述已按流程节点口径整理。</t>
        </is>
      </c>
    </row>
    <row r="11" ht="51" customHeight="1">
      <c r="A11" t="inlineStr">
        <is>
          <t>S010</t>
        </is>
      </c>
      <c r="B11" t="inlineStr">
        <is>
          <t>检查交付质量</t>
        </is>
      </c>
      <c r="C11" t="inlineStr">
        <is>
          <t>质量检查与审核</t>
        </is>
      </c>
      <c r="D11" t="inlineStr">
        <is>
          <t>提测节点中，AI 节点自动检查代码是否关联了需求、测试用例是否覆盖了验收标准，不符合的自动驳回并给出原因。</t>
        </is>
      </c>
      <c r="E11" t="inlineStr">
        <is>
          <t>当前“检查交付质量”依赖人工读取材料、判断规则并执行后续操作，处理效率和结果一致性容易受个人经验影响。</t>
        </is>
      </c>
      <c r="F11" t="inlineStr">
        <is>
          <t>提测节点中，AI 节点自动检查代码是否关联了需求、测试用例是否覆盖了验收标准，不符合的自动驳回并给出原因。</t>
        </is>
      </c>
      <c r="G11" t="inlineStr">
        <is>
          <t>前置发现问题｜统一审核标准｜降低合规风险</t>
        </is>
      </c>
      <c r="H11" t="inlineStr">
        <is>
          <t>互联网</t>
        </is>
      </c>
      <c r="I11" t="inlineStr">
        <is>
          <t>测试</t>
        </is>
      </c>
      <c r="J11" t="inlineStr">
        <is>
          <t>自动检查｜质量门禁</t>
        </is>
      </c>
      <c r="K11" t="inlineStr">
        <is>
          <t>流程节点</t>
        </is>
      </c>
      <c r="L11" t="inlineStr">
        <is>
          <t>https://aka.doubaocdn.com/s/CvvUzmrizE</t>
        </is>
      </c>
      <c r="O11" t="inlineStr">
        <is>
          <t>是</t>
        </is>
      </c>
      <c r="P11" t="n">
        <v>10</v>
      </c>
      <c r="Q11" t="inlineStr">
        <is>
          <t>模拟待校准</t>
        </is>
      </c>
      <c r="R11" t="inlineStr">
        <is>
          <t>来源：用户筛选 CSV 序号 10；场景名称和描述已按流程节点口径整理。</t>
        </is>
      </c>
    </row>
    <row r="12" ht="51" customHeight="1">
      <c r="A12" t="inlineStr">
        <is>
          <t>S011</t>
        </is>
      </c>
      <c r="B12" t="inlineStr">
        <is>
          <t>检查需求合规</t>
        </is>
      </c>
      <c r="C12" t="inlineStr">
        <is>
          <t>质量检查与审核</t>
        </is>
      </c>
      <c r="D12" t="inlineStr">
        <is>
          <t>需求提交审批前，AI 节点自动检查是否满足了合规要求：是否完成了风险评估、是否获得了法务审批、是否标注了数据安全等级。</t>
        </is>
      </c>
      <c r="E12" t="inlineStr">
        <is>
          <t>当前“检查需求合规”依赖人工读取材料、判断规则并执行后续操作，处理效率和结果一致性容易受个人经验影响。</t>
        </is>
      </c>
      <c r="F12" t="inlineStr">
        <is>
          <t>需求提交审批前，AI 节点自动检查是否满足了合规要求：是否完成了风险评估、是否获得了法务审批、是否标注了数据安全等级。</t>
        </is>
      </c>
      <c r="G12" t="inlineStr">
        <is>
          <t>前置发现问题｜统一审核标准｜降低合规风险</t>
        </is>
      </c>
      <c r="H12" t="inlineStr">
        <is>
          <t>金融</t>
        </is>
      </c>
      <c r="I12" t="inlineStr">
        <is>
          <t>高管</t>
        </is>
      </c>
      <c r="J12" t="inlineStr">
        <is>
          <t>合规检查｜风险评估</t>
        </is>
      </c>
      <c r="K12" t="inlineStr">
        <is>
          <t>流程节点</t>
        </is>
      </c>
      <c r="L12" t="inlineStr">
        <is>
          <t>https://aka.doubaocdn.com/s/DJabXgkph8</t>
        </is>
      </c>
      <c r="O12" t="inlineStr">
        <is>
          <t>是</t>
        </is>
      </c>
      <c r="P12" t="n">
        <v>11</v>
      </c>
      <c r="Q12" t="inlineStr">
        <is>
          <t>模拟待校准</t>
        </is>
      </c>
      <c r="R12" t="inlineStr">
        <is>
          <t>来源：用户筛选 CSV 序号 11；场景名称和描述已按流程节点口径整理。</t>
        </is>
      </c>
    </row>
    <row r="13" ht="51" customHeight="1">
      <c r="A13" t="inlineStr">
        <is>
          <t>S012</t>
        </is>
      </c>
      <c r="B13" t="inlineStr">
        <is>
          <t>检查代码提交</t>
        </is>
      </c>
      <c r="C13" t="inlineStr">
        <is>
          <t>质量检查与审核</t>
        </is>
      </c>
      <c r="D13" t="inlineStr">
        <is>
          <t>代码提交时，AI 节点自动检查是否关联了工作项、是否通过了 Code Review、是否包含必要的测试，不合规的提交自动拦截并通知开发者。</t>
        </is>
      </c>
      <c r="E13" t="inlineStr">
        <is>
          <t>当前“检查代码提交”依赖人工读取材料、判断规则并执行后续操作，处理效率和结果一致性容易受个人经验影响。</t>
        </is>
      </c>
      <c r="F13" t="inlineStr">
        <is>
          <t>代码提交时，AI 节点自动检查是否关联了工作项、是否通过了 Code Review、是否包含必要的测试，不合规的提交自动拦截并通知开发者。</t>
        </is>
      </c>
      <c r="G13" t="inlineStr">
        <is>
          <t>前置发现问题｜统一审核标准｜降低合规风险</t>
        </is>
      </c>
      <c r="H13" t="inlineStr">
        <is>
          <t>汽车</t>
        </is>
      </c>
      <c r="I13" t="inlineStr">
        <is>
          <t>研发</t>
        </is>
      </c>
      <c r="J13" t="inlineStr">
        <is>
          <t>代码审查｜合规拦截</t>
        </is>
      </c>
      <c r="K13" t="inlineStr">
        <is>
          <t>流程节点</t>
        </is>
      </c>
      <c r="L13" t="inlineStr">
        <is>
          <t>https://aka.doubaocdn.com/s/a3S9pUgsCz</t>
        </is>
      </c>
      <c r="O13" t="inlineStr">
        <is>
          <t>是</t>
        </is>
      </c>
      <c r="P13" t="n">
        <v>12</v>
      </c>
      <c r="Q13" t="inlineStr">
        <is>
          <t>模拟待校准</t>
        </is>
      </c>
      <c r="R13" t="inlineStr">
        <is>
          <t>来源：用户筛选 CSV 序号 12；场景名称和描述已按流程节点口径整理。</t>
        </is>
      </c>
    </row>
    <row r="14" ht="51" customHeight="1">
      <c r="A14" t="inlineStr">
        <is>
          <t>S019</t>
        </is>
      </c>
      <c r="B14" t="inlineStr">
        <is>
          <t>检查设计规范</t>
        </is>
      </c>
      <c r="C14" t="inlineStr">
        <is>
          <t>质量检查与审核</t>
        </is>
      </c>
      <c r="D14" t="inlineStr">
        <is>
          <t>设计师提交设计稿后，AI 节点自动检查组件库一致性、间距规范、色彩规范等，不符合规范的自动标注并给出修改建议。</t>
        </is>
      </c>
      <c r="E14" t="inlineStr">
        <is>
          <t>当前“检查设计规范”依赖人工读取材料、判断规则并执行后续操作，处理效率和结果一致性容易受个人经验影响。</t>
        </is>
      </c>
      <c r="F14" t="inlineStr">
        <is>
          <t>设计师提交设计稿后，AI 节点自动检查组件库一致性、间距规范、色彩规范等，不符合规范的自动标注并给出修改建议。</t>
        </is>
      </c>
      <c r="G14" t="inlineStr">
        <is>
          <t>前置发现问题｜统一审核标准｜降低合规风险</t>
        </is>
      </c>
      <c r="H14" t="inlineStr">
        <is>
          <t>消费电子</t>
        </is>
      </c>
      <c r="I14" t="inlineStr">
        <is>
          <t>设计</t>
        </is>
      </c>
      <c r="J14" t="inlineStr">
        <is>
          <t>设计规范｜组件一致性</t>
        </is>
      </c>
      <c r="K14" t="inlineStr">
        <is>
          <t>流程节点</t>
        </is>
      </c>
      <c r="L14" t="inlineStr">
        <is>
          <t>https://aka.doubaocdn.com/s/bv0qSfwVgG</t>
        </is>
      </c>
      <c r="O14" t="inlineStr">
        <is>
          <t>是</t>
        </is>
      </c>
      <c r="P14" t="n">
        <v>13</v>
      </c>
      <c r="Q14" t="inlineStr">
        <is>
          <t>模拟待校准</t>
        </is>
      </c>
      <c r="R14" t="inlineStr">
        <is>
          <t>来源：用户筛选 CSV 序号 13；场景名称和描述已按流程节点口径整理。</t>
        </is>
      </c>
    </row>
    <row r="15" ht="51" customHeight="1">
      <c r="A15" t="inlineStr">
        <is>
          <t>S020</t>
        </is>
      </c>
      <c r="B15" t="inlineStr">
        <is>
          <t>评估变更影响</t>
        </is>
      </c>
      <c r="C15" t="inlineStr">
        <is>
          <t>质量检查与审核</t>
        </is>
      </c>
      <c r="D15" t="inlineStr">
        <is>
          <t>当需求发生变更时，AI 节点自动分析影响的上下游模块、关联任务和依赖关系，输出影响范围评估报告。</t>
        </is>
      </c>
      <c r="E15" t="inlineStr">
        <is>
          <t>当前“评估变更影响”依赖人工读取材料、判断规则并执行后续操作，处理效率和结果一致性容易受个人经验影响。</t>
        </is>
      </c>
      <c r="F15" t="inlineStr">
        <is>
          <t>当需求发生变更时，AI 节点自动分析影响的上下游模块、关联任务和依赖关系，输出影响范围评估报告。</t>
        </is>
      </c>
      <c r="G15" t="inlineStr">
        <is>
          <t>缩短评估时间｜提供决策依据｜暴露关键风险</t>
        </is>
      </c>
      <c r="H15" t="inlineStr">
        <is>
          <t>汽车</t>
        </is>
      </c>
      <c r="I15" t="inlineStr">
        <is>
          <t>产品经理</t>
        </is>
      </c>
      <c r="J15" t="inlineStr">
        <is>
          <t>变更影响｜依赖分析</t>
        </is>
      </c>
      <c r="K15" t="inlineStr">
        <is>
          <t>流程节点</t>
        </is>
      </c>
      <c r="L15" t="inlineStr">
        <is>
          <t>https://aka.doubaocdn.com/s/nvmVJKYDTY</t>
        </is>
      </c>
      <c r="O15" t="inlineStr">
        <is>
          <t>是</t>
        </is>
      </c>
      <c r="P15" t="n">
        <v>14</v>
      </c>
      <c r="Q15" t="inlineStr">
        <is>
          <t>模拟待校准</t>
        </is>
      </c>
      <c r="R15" t="inlineStr">
        <is>
          <t>来源：用户筛选 CSV 序号 16；场景名称和描述已按流程节点口径整理。</t>
        </is>
      </c>
    </row>
    <row r="16" ht="51" customHeight="1">
      <c r="A16" t="inlineStr">
        <is>
          <t>S021</t>
        </is>
      </c>
      <c r="B16" t="inlineStr">
        <is>
          <t>预警供应链风险</t>
        </is>
      </c>
      <c r="C16" t="inlineStr">
        <is>
          <t>分析评估与预警</t>
        </is>
      </c>
      <c r="D16" t="inlineStr">
        <is>
          <t>供应链关键节点出现异常时（如供应商延期、原材料涨价），AI 节点自动预警并评估对项目交付的影响，推荐替代方案。</t>
        </is>
      </c>
      <c r="E16" t="inlineStr">
        <is>
          <t>当前“预警供应链风险”依赖人工读取材料、判断规则并执行后续操作，处理效率和结果一致性容易受个人经验影响。</t>
        </is>
      </c>
      <c r="F16" t="inlineStr">
        <is>
          <t>供应链关键节点出现异常时（如供应商延期、原材料涨价），AI 节点自动预警并评估对项目交付的影响，推荐替代方案。</t>
        </is>
      </c>
      <c r="G16" t="inlineStr">
        <is>
          <t>提前识别风险｜缩短响应时间｜推动责任闭环</t>
        </is>
      </c>
      <c r="H16" t="inlineStr">
        <is>
          <t>制造</t>
        </is>
      </c>
      <c r="I16" t="inlineStr">
        <is>
          <t>高管</t>
        </is>
      </c>
      <c r="J16" t="inlineStr">
        <is>
          <t>供应链｜风险预警</t>
        </is>
      </c>
      <c r="K16" t="inlineStr">
        <is>
          <t>流程节点</t>
        </is>
      </c>
      <c r="L16" t="inlineStr">
        <is>
          <t>https://aka.doubaocdn.com/s/Gkf92x6XVm</t>
        </is>
      </c>
      <c r="O16" t="inlineStr">
        <is>
          <t>是</t>
        </is>
      </c>
      <c r="P16" t="n">
        <v>15</v>
      </c>
      <c r="Q16" t="inlineStr">
        <is>
          <t>模拟待校准</t>
        </is>
      </c>
      <c r="R16" t="inlineStr">
        <is>
          <t>来源：用户筛选 CSV 序号 17；场景名称和描述已按流程节点口径整理。</t>
        </is>
      </c>
    </row>
    <row r="17" ht="51" customHeight="1">
      <c r="A17" t="inlineStr">
        <is>
          <t>S022</t>
        </is>
      </c>
      <c r="B17" t="inlineStr">
        <is>
          <t>起草发布说明</t>
        </is>
      </c>
      <c r="C17" t="inlineStr">
        <is>
          <t>内容撰写与总结</t>
        </is>
      </c>
      <c r="D17" t="inlineStr">
        <is>
          <t>版本发布前，AI 根据本版本的需求、缺陷和变更记录自动生成 Release Notes，包含功能清单、修复列表和已知问题，研发只需微调即可发布。</t>
        </is>
      </c>
      <c r="E17" t="inlineStr">
        <is>
          <t>当前“起草发布说明”依赖人工读取材料、判断规则并执行后续操作，处理效率和结果一致性容易受个人经验影响。</t>
        </is>
      </c>
      <c r="F17" t="inlineStr">
        <is>
          <t>版本发布前，AI 根据本版本的需求、缺陷和变更记录自动生成 Release Notes，包含功能清单、修复列表和已知问题，研发只需微调即可发布。</t>
        </is>
      </c>
      <c r="G17" t="inlineStr">
        <is>
          <t>减少人工处理｜统一输出结构｜降低信息遗漏</t>
        </is>
      </c>
      <c r="H17" t="inlineStr">
        <is>
          <t>消费电子</t>
        </is>
      </c>
      <c r="I17" t="inlineStr">
        <is>
          <t>研发</t>
        </is>
      </c>
      <c r="J17" t="inlineStr">
        <is>
          <t>发布说明｜自动生成</t>
        </is>
      </c>
      <c r="K17" t="inlineStr">
        <is>
          <t>流程节点</t>
        </is>
      </c>
      <c r="L17" t="inlineStr">
        <is>
          <t>https://aka.doubaocdn.com/s/bv0qSfwVgG</t>
        </is>
      </c>
      <c r="O17" t="inlineStr">
        <is>
          <t>是</t>
        </is>
      </c>
      <c r="P17" t="n">
        <v>16</v>
      </c>
      <c r="Q17" t="inlineStr">
        <is>
          <t>模拟待校准</t>
        </is>
      </c>
      <c r="R17" t="inlineStr">
        <is>
          <t>来源：用户筛选 CSV 序号 20；场景名称和描述已按流程节点口径整理。</t>
        </is>
      </c>
    </row>
    <row r="18" ht="51" customHeight="1">
      <c r="A18" t="inlineStr">
        <is>
          <t>S023</t>
        </is>
      </c>
      <c r="B18" t="inlineStr">
        <is>
          <t>拆解项目计划</t>
        </is>
      </c>
      <c r="C18" t="inlineStr">
        <is>
          <t>计划拆解与协同</t>
        </is>
      </c>
      <c r="D18" t="inlineStr">
        <is>
          <t>立项后，AI 根据历史项目数据和行业模板，自动拆解出任务清单、推荐排期和关键里程碑，项目经理只需微调即可启动。</t>
        </is>
      </c>
      <c r="E18" t="inlineStr">
        <is>
          <t>当前“拆解项目计划”依赖人工读取材料、判断规则并执行后续操作，处理效率和结果一致性容易受个人经验影响。</t>
        </is>
      </c>
      <c r="F18" t="inlineStr">
        <is>
          <t>立项后，AI 根据历史项目数据和行业模板，自动拆解出任务清单、推荐排期和关键里程碑，项目经理只需微调即可启动。</t>
        </is>
      </c>
      <c r="G18" t="inlineStr">
        <is>
          <t>统一拆解口径｜减少遗漏｜加快进入执行</t>
        </is>
      </c>
      <c r="H18" t="inlineStr">
        <is>
          <t>互联网</t>
        </is>
      </c>
      <c r="I18" t="inlineStr">
        <is>
          <t>项目经理</t>
        </is>
      </c>
      <c r="J18" t="inlineStr">
        <is>
          <t>项目拆解｜智能排期</t>
        </is>
      </c>
      <c r="K18" t="inlineStr">
        <is>
          <t>流程节点</t>
        </is>
      </c>
      <c r="L18" t="inlineStr">
        <is>
          <t>https://aka.doubaocdn.com/s/nvmVJKYDTY</t>
        </is>
      </c>
      <c r="O18" t="inlineStr">
        <is>
          <t>是</t>
        </is>
      </c>
      <c r="P18" t="n">
        <v>17</v>
      </c>
      <c r="Q18" t="inlineStr">
        <is>
          <t>模拟待校准</t>
        </is>
      </c>
      <c r="R18" t="inlineStr">
        <is>
          <t>来源：用户筛选 CSV 序号 23；场景名称和描述已按流程节点口径整理。</t>
        </is>
      </c>
    </row>
    <row r="19" ht="51" customHeight="1">
      <c r="A19" t="inlineStr">
        <is>
          <t>S024</t>
        </is>
      </c>
      <c r="B19" t="inlineStr">
        <is>
          <t>生成测试用例</t>
        </is>
      </c>
      <c r="C19" t="inlineStr">
        <is>
          <t>质量检查与审核</t>
        </is>
      </c>
      <c r="D19" t="inlineStr">
        <is>
          <t>需求进入测试阶段后，AI 根据需求描述和验收标准生成覆盖主流程、边界条件和异常场景的测试用例。</t>
        </is>
      </c>
      <c r="E19" t="inlineStr">
        <is>
          <t>测试人员需要逐条阅读需求并设计用例，重复劳动多，边界条件和异常流程容易遗漏。</t>
        </is>
      </c>
      <c r="F19" t="inlineStr">
        <is>
          <t>需求进入测试阶段时，读取 PRD、验收标准和关联原型，按团队用例模板生成前置条件、操作步骤、预期结果和优先级，并标记需要人工补充的特殊场景。</t>
        </is>
      </c>
      <c r="G19" t="inlineStr">
        <is>
          <t>缩短用例设计时间｜提升场景覆盖率｜统一测试用例格式</t>
        </is>
      </c>
      <c r="H19" t="inlineStr">
        <is>
          <t>互联网</t>
        </is>
      </c>
      <c r="I19" t="inlineStr">
        <is>
          <t>测试</t>
        </is>
      </c>
      <c r="J19" t="inlineStr">
        <is>
          <t>测试用例｜边界分析｜质量保障</t>
        </is>
      </c>
      <c r="K19" t="inlineStr">
        <is>
          <t>流程节点</t>
        </is>
      </c>
      <c r="L19" t="inlineStr">
        <is>
          <t>https://aka.doubaocdn.com/s/CvvUzmrizE</t>
        </is>
      </c>
      <c r="O19" t="inlineStr">
        <is>
          <t>是</t>
        </is>
      </c>
      <c r="P19" t="n">
        <v>18</v>
      </c>
      <c r="Q19" t="inlineStr">
        <is>
          <t>模拟待校准</t>
        </is>
      </c>
      <c r="R19" t="inlineStr">
        <is>
          <t>来源：用户筛选 CSV 序号 28；场景名称和描述已按流程节点口径整理。</t>
        </is>
      </c>
    </row>
    <row r="20">
      <c r="A20" t="inlineStr">
        <is>
          <t>S025</t>
        </is>
      </c>
      <c r="B20" t="inlineStr">
        <is>
          <t>响应系统故障</t>
        </is>
      </c>
      <c r="C20" t="inlineStr">
        <is>
          <t>计划拆解与协同</t>
        </is>
      </c>
      <c r="D20" t="inlineStr">
        <is>
          <t>线上系统出现异常时，AI 节点自动检测告警、分析根因、创建事故单并通知值班人员，缩短故障发现到响应的时间。</t>
        </is>
      </c>
      <c r="E20" t="inlineStr">
        <is>
          <t>当前“响应系统故障”依赖人工读取材料、判断规则并执行后续操作，处理效率和结果一致性容易受个人经验影响。</t>
        </is>
      </c>
      <c r="F20" t="inlineStr">
        <is>
          <t>线上系统出现异常时，AI 节点自动检测告警、分析根因、创建事故单并通知值班人员，缩短故障发现到响应的时间。</t>
        </is>
      </c>
      <c r="G20" t="inlineStr">
        <is>
          <t>缩短发现到响应时间｜自动沉淀上下文｜加快问题闭环</t>
        </is>
      </c>
      <c r="H20" t="inlineStr">
        <is>
          <t>汽车</t>
        </is>
      </c>
      <c r="I20" t="inlineStr">
        <is>
          <t>研发</t>
        </is>
      </c>
      <c r="J20" t="inlineStr">
        <is>
          <t>故障检测｜自动响应</t>
        </is>
      </c>
      <c r="K20" t="inlineStr">
        <is>
          <t>流程节点</t>
        </is>
      </c>
      <c r="L20" t="inlineStr">
        <is>
          <t>https://aka.doubaocdn.com/s/RHeb6ZPb6p</t>
        </is>
      </c>
      <c r="O20" t="inlineStr">
        <is>
          <t>是</t>
        </is>
      </c>
      <c r="P20" t="n">
        <v>19</v>
      </c>
      <c r="Q20" t="inlineStr">
        <is>
          <t>模拟待校准</t>
        </is>
      </c>
      <c r="R20" t="inlineStr">
        <is>
          <t>来源：用户筛选 CSV 序号 30；场景名称和描述已按流程节点口径整理。</t>
        </is>
      </c>
    </row>
    <row r="21">
      <c r="A21" t="inlineStr">
        <is>
          <t>S026</t>
        </is>
      </c>
      <c r="B21" t="inlineStr">
        <is>
          <t>补全需求描述</t>
        </is>
      </c>
      <c r="C21" t="inlineStr">
        <is>
          <t>信息提取与补全</t>
        </is>
      </c>
      <c r="D21" t="inlineStr">
        <is>
          <t>新建需求时，AI 根据标题自动补全背景描述、验收标准等字段，减少重复录入，提升需求质量。</t>
        </is>
      </c>
      <c r="E21" t="inlineStr">
        <is>
          <t>当前“补全需求描述”依赖人工读取材料、判断规则并执行后续操作，处理效率和结果一致性容易受个人经验影响。</t>
        </is>
      </c>
      <c r="F21" t="inlineStr">
        <is>
          <t>新建需求时，AI 根据标题自动补全背景描述、验收标准等字段，减少重复录入，提升需求质量。</t>
        </is>
      </c>
      <c r="G21" t="inlineStr">
        <is>
          <t>减少人工处理｜统一输出结构｜降低信息遗漏</t>
        </is>
      </c>
      <c r="H21" t="inlineStr">
        <is>
          <t>互联网</t>
        </is>
      </c>
      <c r="I21" t="inlineStr">
        <is>
          <t>产品经理</t>
        </is>
      </c>
      <c r="J21" t="inlineStr">
        <is>
          <t>智能填单｜需求补全</t>
        </is>
      </c>
      <c r="K21" t="inlineStr">
        <is>
          <t>流程节点</t>
        </is>
      </c>
      <c r="L21" t="inlineStr">
        <is>
          <t>https://aka.doubaocdn.com/s/IMKcg667UN</t>
        </is>
      </c>
      <c r="O21" t="inlineStr">
        <is>
          <t>是</t>
        </is>
      </c>
      <c r="P21" t="n">
        <v>20</v>
      </c>
      <c r="Q21" t="inlineStr">
        <is>
          <t>模拟待校准</t>
        </is>
      </c>
      <c r="R21" t="inlineStr">
        <is>
          <t>来源：用户筛选 CSV 序号 82；场景名称和描述已按流程节点口径整理。</t>
        </is>
      </c>
    </row>
    <row r="22">
      <c r="A22" t="inlineStr">
        <is>
          <t>S027</t>
        </is>
      </c>
      <c r="B22" t="inlineStr">
        <is>
          <t>生成缺陷报告</t>
        </is>
      </c>
      <c r="C22" t="inlineStr">
        <is>
          <t>内容撰写与总结</t>
        </is>
      </c>
      <c r="D22" t="inlineStr">
        <is>
          <t>测试发现问题后，AI 根据截图和简要描述自动生成完整的缺陷报告，包含复现步骤、预期结果和严重度评估。</t>
        </is>
      </c>
      <c r="E22" t="inlineStr">
        <is>
          <t>当前“生成缺陷报告”依赖人工读取材料、判断规则并执行后续操作，处理效率和结果一致性容易受个人经验影响。</t>
        </is>
      </c>
      <c r="F22" t="inlineStr">
        <is>
          <t>测试发现问题后，AI 根据截图和简要描述自动生成完整的缺陷报告，包含复现步骤、预期结果和严重度评估。</t>
        </is>
      </c>
      <c r="G22" t="inlineStr">
        <is>
          <t>减少人工处理｜统一输出结构｜降低信息遗漏</t>
        </is>
      </c>
      <c r="H22" t="inlineStr">
        <is>
          <t>互联网</t>
        </is>
      </c>
      <c r="I22" t="inlineStr">
        <is>
          <t>测试</t>
        </is>
      </c>
      <c r="J22" t="inlineStr">
        <is>
          <t>缺陷报告｜自动补全</t>
        </is>
      </c>
      <c r="K22" t="inlineStr">
        <is>
          <t>流程节点</t>
        </is>
      </c>
      <c r="L22" t="inlineStr">
        <is>
          <t>https://aka.doubaocdn.com/s/CvvUzmrizE</t>
        </is>
      </c>
      <c r="O22" t="inlineStr">
        <is>
          <t>是</t>
        </is>
      </c>
      <c r="P22" t="n">
        <v>21</v>
      </c>
      <c r="Q22" t="inlineStr">
        <is>
          <t>模拟待校准</t>
        </is>
      </c>
      <c r="R22" t="inlineStr">
        <is>
          <t>来源：用户筛选 CSV 序号 83；场景名称和描述已按流程节点口径整理。</t>
        </is>
      </c>
    </row>
    <row r="23">
      <c r="A23" t="inlineStr">
        <is>
          <t>S028</t>
        </is>
      </c>
      <c r="B23" t="inlineStr">
        <is>
          <t>补全企业信息</t>
        </is>
      </c>
      <c r="C23" t="inlineStr">
        <is>
          <t>信息提取与补全</t>
        </is>
      </c>
      <c r="D23" t="inlineStr">
        <is>
          <t>录入客户/线索时，AI 节点自动查询并补全企业名称、信用代码、地址等工商信息，减少手动录入。</t>
        </is>
      </c>
      <c r="E23" t="inlineStr">
        <is>
          <t>当前“补全企业信息”依赖人工读取材料、判断规则并执行后续操作，处理效率和结果一致性容易受个人经验影响。</t>
        </is>
      </c>
      <c r="F23" t="inlineStr">
        <is>
          <t>录入客户/线索时，AI 节点自动查询并补全企业名称、信用代码、地址等工商信息，减少手动录入。</t>
        </is>
      </c>
      <c r="G23" t="inlineStr">
        <is>
          <t>减少人工处理｜统一输出结构｜降低信息遗漏</t>
        </is>
      </c>
      <c r="H23" t="inlineStr">
        <is>
          <t>金融</t>
        </is>
      </c>
      <c r="I23" t="inlineStr">
        <is>
          <t>销售</t>
        </is>
      </c>
      <c r="J23" t="inlineStr">
        <is>
          <t>客户信息｜自动补全</t>
        </is>
      </c>
      <c r="K23" t="inlineStr">
        <is>
          <t>流程节点</t>
        </is>
      </c>
      <c r="L23" t="inlineStr">
        <is>
          <t>https://aka.doubaocdn.com/s/TYVL9Q4ue4</t>
        </is>
      </c>
      <c r="O23" t="inlineStr">
        <is>
          <t>是</t>
        </is>
      </c>
      <c r="P23" t="n">
        <v>22</v>
      </c>
      <c r="Q23" t="inlineStr">
        <is>
          <t>模拟待校准</t>
        </is>
      </c>
      <c r="R23" t="inlineStr">
        <is>
          <t>来源：用户筛选 CSV 序号 84；场景名称和描述已按流程节点口径整理。</t>
        </is>
      </c>
    </row>
    <row r="24">
      <c r="A24" t="inlineStr">
        <is>
          <t>S029</t>
        </is>
      </c>
      <c r="B24" t="inlineStr">
        <is>
          <t>审查金融合规</t>
        </is>
      </c>
      <c r="C24" t="inlineStr">
        <is>
          <t>质量检查与审核</t>
        </is>
      </c>
      <c r="D24" t="inlineStr">
        <is>
          <t>金融项目关键节点，AI 节点自动检查是否满足监管合规要求：风险评估完成、法务审批通过、数据安全等级标注。</t>
        </is>
      </c>
      <c r="E24" t="inlineStr">
        <is>
          <t>当前“审查金融合规”依赖人工读取材料、判断规则并执行后续操作，处理效率和结果一致性容易受个人经验影响。</t>
        </is>
      </c>
      <c r="F24" t="inlineStr">
        <is>
          <t>金融项目关键节点，AI 节点自动检查是否满足监管合规要求：风险评估完成、法务审批通过、数据安全等级标注。</t>
        </is>
      </c>
      <c r="G24" t="inlineStr">
        <is>
          <t>前置发现问题｜统一审核标准｜降低合规风险</t>
        </is>
      </c>
      <c r="H24" t="inlineStr">
        <is>
          <t>金融</t>
        </is>
      </c>
      <c r="I24" t="inlineStr">
        <is>
          <t>高管</t>
        </is>
      </c>
      <c r="J24" t="inlineStr">
        <is>
          <t>合规审查｜金融监管</t>
        </is>
      </c>
      <c r="K24" t="inlineStr">
        <is>
          <t>流程节点</t>
        </is>
      </c>
      <c r="L24" t="inlineStr">
        <is>
          <t>https://aka.doubaocdn.com/s/DJabXgkph8</t>
        </is>
      </c>
      <c r="O24" t="inlineStr">
        <is>
          <t>是</t>
        </is>
      </c>
      <c r="P24" t="n">
        <v>23</v>
      </c>
      <c r="Q24" t="inlineStr">
        <is>
          <t>模拟待校准</t>
        </is>
      </c>
      <c r="R24" t="inlineStr">
        <is>
          <t>来源：用户筛选 CSV 序号 89；场景名称和描述已按流程节点口径整理。</t>
        </is>
      </c>
    </row>
    <row r="25">
      <c r="A25" t="inlineStr">
        <is>
          <t>S030</t>
        </is>
      </c>
      <c r="B25" t="inlineStr">
        <is>
          <t>评估投资风险</t>
        </is>
      </c>
      <c r="C25" t="inlineStr">
        <is>
          <t>分析评估与预警</t>
        </is>
      </c>
      <c r="D25" t="inlineStr">
        <is>
          <t>投资项目立项前，AI 节点自动评估风险等级，分析市场环境、政策变化和财务指标，输出风险评估报告。</t>
        </is>
      </c>
      <c r="E25" t="inlineStr">
        <is>
          <t>当前“评估投资风险”依赖人工读取材料、判断规则并执行后续操作，处理效率和结果一致性容易受个人经验影响。</t>
        </is>
      </c>
      <c r="F25" t="inlineStr">
        <is>
          <t>投资项目立项前，AI 节点自动评估风险等级，分析市场环境、政策变化和财务指标，输出风险评估报告。</t>
        </is>
      </c>
      <c r="G25" t="inlineStr">
        <is>
          <t>缩短评估时间｜提供决策依据｜暴露关键风险</t>
        </is>
      </c>
      <c r="H25" t="inlineStr">
        <is>
          <t>金融</t>
        </is>
      </c>
      <c r="I25" t="inlineStr">
        <is>
          <t>高管</t>
        </is>
      </c>
      <c r="J25" t="inlineStr">
        <is>
          <t>投资风险｜智能评估</t>
        </is>
      </c>
      <c r="K25" t="inlineStr">
        <is>
          <t>流程节点</t>
        </is>
      </c>
      <c r="L25" t="inlineStr">
        <is>
          <t>https://aka.doubaocdn.com/s/DJabXgkph8</t>
        </is>
      </c>
      <c r="O25" t="inlineStr">
        <is>
          <t>是</t>
        </is>
      </c>
      <c r="P25" t="n">
        <v>24</v>
      </c>
      <c r="Q25" t="inlineStr">
        <is>
          <t>模拟待校准</t>
        </is>
      </c>
      <c r="R25" t="inlineStr">
        <is>
          <t>来源：用户筛选 CSV 序号 90；场景名称和描述已按流程节点口径整理。</t>
        </is>
      </c>
    </row>
    <row r="26">
      <c r="A26" t="inlineStr">
        <is>
          <t>S031</t>
        </is>
      </c>
      <c r="B26" t="inlineStr">
        <is>
          <t>评估销售线索</t>
        </is>
      </c>
      <c r="C26" t="inlineStr">
        <is>
          <t>分析评估与预警</t>
        </is>
      </c>
      <c r="D26" t="inlineStr">
        <is>
          <t>销售线索进入系统后，AI 根据企业规模、行业、行为数据自动评分，帮销售优先跟进高价值线索。</t>
        </is>
      </c>
      <c r="E26" t="inlineStr">
        <is>
          <t>当前“评估销售线索”依赖人工读取材料、判断规则并执行后续操作，处理效率和结果一致性容易受个人经验影响。</t>
        </is>
      </c>
      <c r="F26" t="inlineStr">
        <is>
          <t>销售线索进入系统后，AI 根据企业规模、行业、行为数据自动评分，帮销售优先跟进高价值线索。</t>
        </is>
      </c>
      <c r="G26" t="inlineStr">
        <is>
          <t>缩短评估时间｜提供决策依据｜暴露关键风险</t>
        </is>
      </c>
      <c r="H26" t="inlineStr">
        <is>
          <t>金融</t>
        </is>
      </c>
      <c r="I26" t="inlineStr">
        <is>
          <t>销售</t>
        </is>
      </c>
      <c r="J26" t="inlineStr">
        <is>
          <t>线索评分｜优先级排序</t>
        </is>
      </c>
      <c r="K26" t="inlineStr">
        <is>
          <t>流程节点</t>
        </is>
      </c>
      <c r="L26" t="inlineStr">
        <is>
          <t>https://aka.doubaocdn.com/s/Bx4o2nVU1J</t>
        </is>
      </c>
      <c r="O26" t="inlineStr">
        <is>
          <t>是</t>
        </is>
      </c>
      <c r="P26" t="n">
        <v>25</v>
      </c>
      <c r="Q26" t="inlineStr">
        <is>
          <t>模拟待校准</t>
        </is>
      </c>
      <c r="R26" t="inlineStr">
        <is>
          <t>来源：用户筛选 CSV 序号 93；场景名称和描述已按流程节点口径整理。</t>
        </is>
      </c>
    </row>
    <row r="27">
      <c r="A27" t="inlineStr">
        <is>
          <t>S032</t>
        </is>
      </c>
      <c r="B27" t="inlineStr">
        <is>
          <t>预警项目延期</t>
        </is>
      </c>
      <c r="C27" t="inlineStr">
        <is>
          <t>分析评估与预警</t>
        </is>
      </c>
      <c r="D27" t="inlineStr">
        <is>
          <t>AI 实时监控项目进度，当关键节点临近截止日期但未完成时，自动预警并通知相关责任人。</t>
        </is>
      </c>
      <c r="E27" t="inlineStr">
        <is>
          <t>当前“预警项目延期”依赖人工读取材料、判断规则并执行后续操作，处理效率和结果一致性容易受个人经验影响。</t>
        </is>
      </c>
      <c r="F27" t="inlineStr">
        <is>
          <t>AI 实时监控项目进度，当关键节点临近截止日期但未完成时，自动预警并通知相关责任人。</t>
        </is>
      </c>
      <c r="G27" t="inlineStr">
        <is>
          <t>提前识别风险｜缩短响应时间｜推动责任闭环</t>
        </is>
      </c>
      <c r="H27" t="inlineStr">
        <is>
          <t>制造</t>
        </is>
      </c>
      <c r="I27" t="inlineStr">
        <is>
          <t>项目经理</t>
        </is>
      </c>
      <c r="J27" t="inlineStr">
        <is>
          <t>进度预警｜自动通知</t>
        </is>
      </c>
      <c r="K27" t="inlineStr">
        <is>
          <t>流程节点</t>
        </is>
      </c>
      <c r="L27" t="inlineStr">
        <is>
          <t>https://aka.doubaocdn.com/s/Gkf92x6XVm</t>
        </is>
      </c>
      <c r="O27" t="inlineStr">
        <is>
          <t>是</t>
        </is>
      </c>
      <c r="P27" t="n">
        <v>26</v>
      </c>
      <c r="Q27" t="inlineStr">
        <is>
          <t>模拟待校准</t>
        </is>
      </c>
      <c r="R27" t="inlineStr">
        <is>
          <t>来源：用户筛选 CSV 序号 101；场景名称和描述已按流程节点口径整理。</t>
        </is>
      </c>
    </row>
    <row r="28">
      <c r="A28" t="inlineStr">
        <is>
          <t>S033</t>
        </is>
      </c>
      <c r="B28" t="inlineStr">
        <is>
          <t>预警预算超支</t>
        </is>
      </c>
      <c r="C28" t="inlineStr">
        <is>
          <t>分析评估与预警</t>
        </is>
      </c>
      <c r="D28" t="inlineStr">
        <is>
          <t>AI 实时监控项目预算使用情况，当实际支出接近或超出预算时自动预警，推荐成本优化方案。</t>
        </is>
      </c>
      <c r="E28" t="inlineStr">
        <is>
          <t>当前“预警预算超支”依赖人工读取材料、判断规则并执行后续操作，处理效率和结果一致性容易受个人经验影响。</t>
        </is>
      </c>
      <c r="F28" t="inlineStr">
        <is>
          <t>AI 实时监控项目预算使用情况，当实际支出接近或超出预算时自动预警，推荐成本优化方案。</t>
        </is>
      </c>
      <c r="G28" t="inlineStr">
        <is>
          <t>提前识别风险｜缩短响应时间｜推动责任闭环</t>
        </is>
      </c>
      <c r="H28" t="inlineStr">
        <is>
          <t>制造</t>
        </is>
      </c>
      <c r="I28" t="inlineStr">
        <is>
          <t>高管</t>
        </is>
      </c>
      <c r="J28" t="inlineStr">
        <is>
          <t>预算监控｜超支预警</t>
        </is>
      </c>
      <c r="K28" t="inlineStr">
        <is>
          <t>流程节点</t>
        </is>
      </c>
      <c r="L28" t="inlineStr">
        <is>
          <t>https://aka.doubaocdn.com/s/Gkf92x6XVm</t>
        </is>
      </c>
      <c r="O28" t="inlineStr">
        <is>
          <t>是</t>
        </is>
      </c>
      <c r="P28" t="n">
        <v>27</v>
      </c>
      <c r="Q28" t="inlineStr">
        <is>
          <t>模拟待校准</t>
        </is>
      </c>
      <c r="R28" t="inlineStr">
        <is>
          <t>来源：用户筛选 CSV 序号 102；场景名称和描述已按流程节点口径整理。</t>
        </is>
      </c>
    </row>
    <row r="29">
      <c r="A29" t="inlineStr">
        <is>
          <t>S034</t>
        </is>
      </c>
      <c r="B29" t="inlineStr">
        <is>
          <t>预警客户流失</t>
        </is>
      </c>
      <c r="C29" t="inlineStr">
        <is>
          <t>分析评估与预警</t>
        </is>
      </c>
      <c r="D29" t="inlineStr">
        <is>
          <t>AI 分析客户活跃度、使用频率和反馈数据，识别有流失风险的客户并自动预警，建议挽留策略。</t>
        </is>
      </c>
      <c r="E29" t="inlineStr">
        <is>
          <t>当前“预警客户流失”依赖人工读取材料、判断规则并执行后续操作，处理效率和结果一致性容易受个人经验影响。</t>
        </is>
      </c>
      <c r="F29" t="inlineStr">
        <is>
          <t>AI 分析客户活跃度、使用频率和反馈数据，识别有流失风险的客户并自动预警，建议挽留策略。</t>
        </is>
      </c>
      <c r="G29" t="inlineStr">
        <is>
          <t>提前识别风险｜缩短响应时间｜推动责任闭环</t>
        </is>
      </c>
      <c r="H29" t="inlineStr">
        <is>
          <t>金融</t>
        </is>
      </c>
      <c r="I29" t="inlineStr">
        <is>
          <t>销售</t>
        </is>
      </c>
      <c r="J29" t="inlineStr">
        <is>
          <t>客户流失｜预警挽留</t>
        </is>
      </c>
      <c r="K29" t="inlineStr">
        <is>
          <t>流程节点</t>
        </is>
      </c>
      <c r="L29" t="inlineStr">
        <is>
          <t>https://aka.doubaocdn.com/s/TYVL9Q4ue4</t>
        </is>
      </c>
      <c r="O29" t="inlineStr">
        <is>
          <t>是</t>
        </is>
      </c>
      <c r="P29" t="n">
        <v>28</v>
      </c>
      <c r="Q29" t="inlineStr">
        <is>
          <t>模拟待校准</t>
        </is>
      </c>
      <c r="R29" t="inlineStr">
        <is>
          <t>来源：用户筛选 CSV 序号 104；场景名称和描述已按流程节点口径整理。</t>
        </is>
      </c>
    </row>
    <row r="30">
      <c r="A30" t="inlineStr">
        <is>
          <t>S035</t>
        </is>
      </c>
      <c r="B30" t="inlineStr">
        <is>
          <t>检查申报材料</t>
        </is>
      </c>
      <c r="C30" t="inlineStr">
        <is>
          <t>质量检查与审核</t>
        </is>
      </c>
      <c r="D30" t="inlineStr">
        <is>
          <t>科研项目申报时，AI 节点自动检查申报材料的完整性和合规性，标注缺失项和格式问题，减少人工审核时间。</t>
        </is>
      </c>
      <c r="E30" t="inlineStr">
        <is>
          <t>当前“检查申报材料”依赖人工读取材料、判断规则并执行后续操作，处理效率和结果一致性容易受个人经验影响。</t>
        </is>
      </c>
      <c r="F30" t="inlineStr">
        <is>
          <t>科研项目申报时，AI 节点自动检查申报材料的完整性和合规性，标注缺失项和格式问题，减少人工审核时间。</t>
        </is>
      </c>
      <c r="G30" t="inlineStr">
        <is>
          <t>前置发现问题｜统一审核标准｜降低合规风险</t>
        </is>
      </c>
      <c r="H30" t="inlineStr">
        <is>
          <t>教育</t>
        </is>
      </c>
      <c r="I30" t="inlineStr">
        <is>
          <t>运营</t>
        </is>
      </c>
      <c r="J30" t="inlineStr">
        <is>
          <t>申报审查｜合规检查</t>
        </is>
      </c>
      <c r="K30" t="inlineStr">
        <is>
          <t>流程节点</t>
        </is>
      </c>
      <c r="L30" t="inlineStr">
        <is>
          <t>https://aka.doubaocdn.com/s/hYfl2K2xZW</t>
        </is>
      </c>
      <c r="O30" t="inlineStr">
        <is>
          <t>是</t>
        </is>
      </c>
      <c r="P30" t="n">
        <v>29</v>
      </c>
      <c r="Q30" t="inlineStr">
        <is>
          <t>模拟待校准</t>
        </is>
      </c>
      <c r="R30" t="inlineStr">
        <is>
          <t>来源：用户筛选 CSV 序号 109；场景名称和描述已按流程节点口径整理。</t>
        </is>
      </c>
    </row>
    <row r="31">
      <c r="A31" t="inlineStr">
        <is>
          <t>S036</t>
        </is>
      </c>
      <c r="B31" t="inlineStr">
        <is>
          <t>评估门店选址</t>
        </is>
      </c>
      <c r="C31" t="inlineStr">
        <is>
          <t>分析评估与预警</t>
        </is>
      </c>
      <c r="D31" t="inlineStr">
        <is>
          <t>门店筹建时，AI 综合分析商圈数据、人流量、竞品分布和租金水平，输出选址评估报告和推荐方案。</t>
        </is>
      </c>
      <c r="E31" t="inlineStr">
        <is>
          <t>当前“评估门店选址”依赖人工读取材料、判断规则并执行后续操作，处理效率和结果一致性容易受个人经验影响。</t>
        </is>
      </c>
      <c r="F31" t="inlineStr">
        <is>
          <t>门店筹建时，AI 综合分析商圈数据、人流量、竞品分布和租金水平，输出选址评估报告和推荐方案。</t>
        </is>
      </c>
      <c r="G31" t="inlineStr">
        <is>
          <t>缩短评估时间｜提供决策依据｜暴露关键风险</t>
        </is>
      </c>
      <c r="H31" t="inlineStr">
        <is>
          <t>零售</t>
        </is>
      </c>
      <c r="I31" t="inlineStr">
        <is>
          <t>运营</t>
        </is>
      </c>
      <c r="J31" t="inlineStr">
        <is>
          <t>选址评估｜数据驱动</t>
        </is>
      </c>
      <c r="K31" t="inlineStr">
        <is>
          <t>流程节点</t>
        </is>
      </c>
      <c r="L31" t="inlineStr">
        <is>
          <t>https://aka.doubaocdn.com/s/Bx4o2nVU1J</t>
        </is>
      </c>
      <c r="O31" t="inlineStr">
        <is>
          <t>是</t>
        </is>
      </c>
      <c r="P31" t="n">
        <v>30</v>
      </c>
      <c r="Q31" t="inlineStr">
        <is>
          <t>模拟待校准</t>
        </is>
      </c>
      <c r="R31" t="inlineStr">
        <is>
          <t>来源：用户筛选 CSV 序号 110；场景名称和描述已按流程节点口径整理。</t>
        </is>
      </c>
    </row>
    <row r="32">
      <c r="A32" t="inlineStr">
        <is>
          <t>S037</t>
        </is>
      </c>
      <c r="B32" t="inlineStr">
        <is>
          <t>审核报名资格</t>
        </is>
      </c>
      <c r="C32" t="inlineStr">
        <is>
          <t>质量检查与审核</t>
        </is>
      </c>
      <c r="D32" t="inlineStr">
        <is>
          <t>学科赛事报名时，AI 节点自动审核参赛资格：年级、学科、往届成绩等，不符合条件的自动驳回并说明原因。</t>
        </is>
      </c>
      <c r="E32" t="inlineStr">
        <is>
          <t>当前“审核报名资格”依赖人工读取材料、判断规则并执行后续操作，处理效率和结果一致性容易受个人经验影响。</t>
        </is>
      </c>
      <c r="F32" t="inlineStr">
        <is>
          <t>学科赛事报名时，AI 节点自动审核参赛资格：年级、学科、往届成绩等，不符合条件的自动驳回并说明原因。</t>
        </is>
      </c>
      <c r="G32" t="inlineStr">
        <is>
          <t>前置发现问题｜统一审核标准｜降低合规风险</t>
        </is>
      </c>
      <c r="H32" t="inlineStr">
        <is>
          <t>教育</t>
        </is>
      </c>
      <c r="I32" t="inlineStr">
        <is>
          <t>运营</t>
        </is>
      </c>
      <c r="J32" t="inlineStr">
        <is>
          <t>报名审核｜资格校验</t>
        </is>
      </c>
      <c r="K32" t="inlineStr">
        <is>
          <t>流程节点</t>
        </is>
      </c>
      <c r="L32" t="inlineStr">
        <is>
          <t>https://aka.doubaocdn.com/s/hYfl2K2xZW</t>
        </is>
      </c>
      <c r="O32" t="inlineStr">
        <is>
          <t>是</t>
        </is>
      </c>
      <c r="P32" t="n">
        <v>31</v>
      </c>
      <c r="Q32" t="inlineStr">
        <is>
          <t>模拟待校准</t>
        </is>
      </c>
      <c r="R32" t="inlineStr">
        <is>
          <t>来源：用户筛选 CSV 序号 111；场景名称和描述已按流程节点口径整理。</t>
        </is>
      </c>
    </row>
    <row r="33">
      <c r="A33" t="inlineStr">
        <is>
          <t>S013</t>
        </is>
      </c>
      <c r="B33" t="inlineStr">
        <is>
          <t>外部工单接入项目闭环</t>
        </is>
      </c>
      <c r="C33" t="inlineStr">
        <is>
          <t>计划拆解与协同</t>
        </is>
      </c>
      <c r="D33" t="inlineStr">
        <is>
          <t>将客服或服务台工单自动创建为项目工作项，并同步状态与处理结果。</t>
        </is>
      </c>
      <c r="E33" t="inlineStr">
        <is>
          <t>外部工单与研发项目割裂，客服需要反复追问进度，状态同步依赖人工。</t>
        </is>
      </c>
      <c r="F33" t="inlineStr">
        <is>
          <t>通过插件接入外部工单，映射字段、自动建单并同步状态，完成后将结果回传原系统。</t>
        </is>
      </c>
      <c r="G33" t="inlineStr">
        <is>
          <t>打通内外流程｜减少状态搬运｜提升客户响应透明度</t>
        </is>
      </c>
      <c r="H33" t="inlineStr">
        <is>
          <t>互联网｜医疗｜零售</t>
        </is>
      </c>
      <c r="I33" t="inlineStr">
        <is>
          <t>运营｜研发｜项目经理</t>
        </is>
      </c>
      <c r="J33" t="inlineStr">
        <is>
          <t>系统集成｜工单管理｜状态同步</t>
        </is>
      </c>
      <c r="K33" t="inlineStr">
        <is>
          <t>图片</t>
        </is>
      </c>
      <c r="O33" t="inlineStr">
        <is>
          <t>是</t>
        </is>
      </c>
      <c r="P33" t="n">
        <v>13</v>
      </c>
      <c r="Q33" t="inlineStr">
        <is>
          <t>模拟待校准</t>
        </is>
      </c>
      <c r="R33" t="inlineStr">
        <is>
          <t>演示数据；产品能力、客户案例与量化结果上线前需逐项核实。</t>
        </is>
      </c>
    </row>
    <row r="34">
      <c r="A34" t="inlineStr">
        <is>
          <t>S014</t>
        </is>
      </c>
      <c r="B34" t="inlineStr">
        <is>
          <t>代码提交关联研发任务</t>
        </is>
      </c>
      <c r="C34" t="inlineStr">
        <is>
          <t>计划拆解与协同</t>
        </is>
      </c>
      <c r="D34" t="inlineStr">
        <is>
          <t>自动将分支、提交和合并请求关联研发任务，并同步开发状态。</t>
        </is>
      </c>
      <c r="E34" t="inlineStr">
        <is>
          <t>代码与任务信息分散，项目进度依赖开发手动更新，追溯成本高。</t>
        </is>
      </c>
      <c r="F34" t="inlineStr">
        <is>
          <t>通过代码仓库插件识别任务编号，关联分支、提交和合并请求，并按规则更新任务状态。</t>
        </is>
      </c>
      <c r="G34" t="inlineStr">
        <is>
          <t>减少手动更新｜提升研发可追溯性｜让进度更实时</t>
        </is>
      </c>
      <c r="H34" t="inlineStr">
        <is>
          <t>互联网｜汽车｜消费电子</t>
        </is>
      </c>
      <c r="I34" t="inlineStr">
        <is>
          <t>研发｜项目经理｜测试</t>
        </is>
      </c>
      <c r="J34" t="inlineStr">
        <is>
          <t>研发协同｜代码关联｜自动流转</t>
        </is>
      </c>
      <c r="K34" t="inlineStr">
        <is>
          <t>图片</t>
        </is>
      </c>
      <c r="O34" t="inlineStr">
        <is>
          <t>是</t>
        </is>
      </c>
      <c r="P34" t="n">
        <v>14</v>
      </c>
      <c r="Q34" t="inlineStr">
        <is>
          <t>模拟待校准</t>
        </is>
      </c>
      <c r="R34" t="inlineStr">
        <is>
          <t>演示数据；产品能力、客户案例与量化结果上线前需逐项核实。</t>
        </is>
      </c>
    </row>
    <row r="35">
      <c r="A35" t="inlineStr">
        <is>
          <t>S015</t>
        </is>
      </c>
      <c r="B35" t="inlineStr">
        <is>
          <t>管理驾驶舱快速搭建</t>
        </is>
      </c>
      <c r="C35" t="inlineStr">
        <is>
          <t>计划拆解与协同</t>
        </is>
      </c>
      <c r="D35" t="inlineStr">
        <is>
          <t>聚合项目进度、风险、资源和质量指标，为管理者提供一页式视图。</t>
        </is>
      </c>
      <c r="E35" t="inlineStr">
        <is>
          <t>管理数据散落在多个视图，汇报依赖截图和手工表格，缺少统一入口。</t>
        </is>
      </c>
      <c r="F35" t="inlineStr">
        <is>
          <t>按角色组合指标卡、趋势图和风险列表，连接项目数据源，形成可按组织筛选的驾驶舱。</t>
        </is>
      </c>
      <c r="G35" t="inlineStr">
        <is>
          <t>缩短管理取数路径｜统一经营视图｜支持持续复盘</t>
        </is>
      </c>
      <c r="H35" t="inlineStr">
        <is>
          <t>互联网｜制造｜汽车</t>
        </is>
      </c>
      <c r="I35" t="inlineStr">
        <is>
          <t>高管｜项目经理｜运营</t>
        </is>
      </c>
      <c r="J35" t="inlineStr">
        <is>
          <t>轻应用｜管理驾驶舱｜数据可视化</t>
        </is>
      </c>
      <c r="K35" t="inlineStr">
        <is>
          <t>图片</t>
        </is>
      </c>
      <c r="O35" t="inlineStr">
        <is>
          <t>是</t>
        </is>
      </c>
      <c r="P35" t="n">
        <v>15</v>
      </c>
      <c r="Q35" t="inlineStr">
        <is>
          <t>模拟待校准</t>
        </is>
      </c>
      <c r="R35" t="inlineStr">
        <is>
          <t>演示数据；产品能力、客户案例与量化结果上线前需逐项核实。</t>
        </is>
      </c>
    </row>
    <row r="36">
      <c r="A36" t="inlineStr">
        <is>
          <t>S016</t>
        </is>
      </c>
      <c r="B36" t="inlineStr">
        <is>
          <t>会议联动项目汇报</t>
        </is>
      </c>
      <c r="C36" t="inlineStr">
        <is>
          <t>计划拆解与协同</t>
        </is>
      </c>
      <c r="D36" t="inlineStr">
        <is>
          <t>会前自动准备项目材料，会中展示关键数据，会后跟踪决议执行。</t>
        </is>
      </c>
      <c r="E36" t="inlineStr">
        <is>
          <t>例会材料准备耗时，会议与项目数据割裂，决议缺少持续跟踪。</t>
        </is>
      </c>
      <c r="F36" t="inlineStr">
        <is>
          <t>轻应用按会议议题聚合项目数据，会后将决议转为任务，并持续展示执行状态。</t>
        </is>
      </c>
      <c r="G36" t="inlineStr">
        <is>
          <t>减少会前准备｜连接会议与执行｜提升决议闭环率</t>
        </is>
      </c>
      <c r="H36" t="inlineStr">
        <is>
          <t>医疗｜制造｜互联网</t>
        </is>
      </c>
      <c r="I36" t="inlineStr">
        <is>
          <t>项目经理｜高管｜运营</t>
        </is>
      </c>
      <c r="J36" t="inlineStr">
        <is>
          <t>轻应用｜会议协同｜项目汇报</t>
        </is>
      </c>
      <c r="K36" t="inlineStr">
        <is>
          <t>图片</t>
        </is>
      </c>
      <c r="O36" t="inlineStr">
        <is>
          <t>是</t>
        </is>
      </c>
      <c r="P36" t="n">
        <v>16</v>
      </c>
      <c r="Q36" t="inlineStr">
        <is>
          <t>模拟待校准</t>
        </is>
      </c>
      <c r="R36" t="inlineStr">
        <is>
          <t>演示数据；产品能力、客户案例与量化结果上线前需逐项核实。</t>
        </is>
      </c>
    </row>
    <row r="37">
      <c r="A37" t="inlineStr">
        <is>
          <t>S017</t>
        </is>
      </c>
      <c r="B37" t="inlineStr">
        <is>
          <t>软件研发流程快速启用</t>
        </is>
      </c>
      <c r="C37" t="inlineStr"/>
      <c r="D37" t="inlineStr">
        <is>
          <t>用一套预置模板快速搭建需求、开发、测试和发布的研发流程。</t>
        </is>
      </c>
      <c r="E37" t="inlineStr">
        <is>
          <t>新团队从零设计流程成本高，字段、状态和视图容易缺失或不一致。</t>
        </is>
      </c>
      <c r="F37" t="inlineStr">
        <is>
          <t>复制研发模板后，根据团队规模调整工作项、流程、权限和度量视图，再导入存量项目。</t>
        </is>
      </c>
      <c r="G37" t="inlineStr">
        <is>
          <t>降低初始化成本｜复用成熟流程｜缩短上线周期</t>
        </is>
      </c>
      <c r="H37" t="inlineStr">
        <is>
          <t>互联网｜消费电子｜汽车</t>
        </is>
      </c>
      <c r="I37" t="inlineStr">
        <is>
          <t>项目经理｜研发｜测试</t>
        </is>
      </c>
      <c r="J37" t="inlineStr">
        <is>
          <t>模板｜研发管理｜流程搭建</t>
        </is>
      </c>
      <c r="K37" t="inlineStr">
        <is>
          <t>图片</t>
        </is>
      </c>
      <c r="O37" t="inlineStr">
        <is>
          <t>是</t>
        </is>
      </c>
      <c r="P37" t="n">
        <v>17</v>
      </c>
      <c r="Q37" t="inlineStr">
        <is>
          <t>模拟待校准</t>
        </is>
      </c>
      <c r="R37" t="inlineStr">
        <is>
          <t>演示数据；产品能力、客户案例与量化结果上线前需逐项核实。</t>
        </is>
      </c>
    </row>
    <row r="38">
      <c r="A38" t="inlineStr">
        <is>
          <t>S018</t>
        </is>
      </c>
      <c r="B38" t="inlineStr">
        <is>
          <t>整车研发跨域协同</t>
        </is>
      </c>
      <c r="C38" t="inlineStr"/>
      <c r="D38" t="inlineStr">
        <is>
          <t>围绕车型项目连接多域计划、评审、风险和交付，实现跨团队协同。</t>
        </is>
      </c>
      <c r="E38" t="inlineStr">
        <is>
          <t>整车研发周期长、参与域多，计划依赖关系和风险传递难以统一管理。</t>
        </is>
      </c>
      <c r="F38" t="inlineStr">
        <is>
          <t>基于解决方案搭建车型项目、跨域计划、关键评审与风险闭环，并连接组织级里程碑。</t>
        </is>
      </c>
      <c r="G38" t="inlineStr">
        <is>
          <t>统一跨域协作语言｜提升计划透明度｜强化风险闭环</t>
        </is>
      </c>
      <c r="H38" t="inlineStr">
        <is>
          <t>汽车｜制造</t>
        </is>
      </c>
      <c r="I38" t="inlineStr">
        <is>
          <t>项目经理｜研发｜高管</t>
        </is>
      </c>
      <c r="J38" t="inlineStr">
        <is>
          <t>解决方案｜整车研发｜跨域协同</t>
        </is>
      </c>
      <c r="K38" t="inlineStr">
        <is>
          <t>图片</t>
        </is>
      </c>
      <c r="O38" t="inlineStr">
        <is>
          <t>是</t>
        </is>
      </c>
      <c r="P38" t="n">
        <v>18</v>
      </c>
      <c r="Q38" t="inlineStr">
        <is>
          <t>模拟待校准</t>
        </is>
      </c>
      <c r="R38" t="inlineStr">
        <is>
          <t>演示数据；产品能力、客户案例与量化结果上线前需逐项核实。</t>
        </is>
      </c>
    </row>
    <row r="39">
      <c r="A39" t="inlineStr">
        <is>
          <t>S038</t>
        </is>
      </c>
      <c r="B39" t="inlineStr">
        <is>
          <t>撰写产品 PRD</t>
        </is>
      </c>
      <c r="C39" t="inlineStr">
        <is>
          <t>内容撰写与总结</t>
        </is>
      </c>
      <c r="D39" t="inlineStr">
        <is>
          <t>需求进入方案阶段后，AI 汇总背景、目标、范围、用户故事和验收标准，生成结构化 PRD 初稿。</t>
        </is>
      </c>
      <c r="E39" t="inlineStr">
        <is>
          <t>产品经理需要从访谈、会议纪要和零散需求中反复整理 PRD，文档结构与信息完整度依赖个人经验。</t>
        </is>
      </c>
      <c r="F39" t="inlineStr">
        <is>
          <t>需求进入方案阶段时，读取当前需求及关联的访谈记录、会议纪要和参考资料，按团队模板生成包含背景、目标、范围、用户故事、方案说明、验收标准和风险项的 PRD 初稿，并标记待确认信息。</t>
        </is>
      </c>
      <c r="G39" t="inlineStr">
        <is>
          <t>缩短文档起草时间｜统一 PRD 结构｜减少关键信息遗漏</t>
        </is>
      </c>
      <c r="H39" t="inlineStr">
        <is>
          <t>互联网｜消费电子｜零售</t>
        </is>
      </c>
      <c r="I39" t="inlineStr">
        <is>
          <t>产品经理</t>
        </is>
      </c>
      <c r="J39" t="inlineStr">
        <is>
          <t>需求文档｜结构化写作｜PRD</t>
        </is>
      </c>
      <c r="K39" t="inlineStr">
        <is>
          <t>流程节点</t>
        </is>
      </c>
      <c r="O39" t="inlineStr">
        <is>
          <t>是</t>
        </is>
      </c>
      <c r="P39" t="n">
        <v>32</v>
      </c>
      <c r="Q39" t="inlineStr">
        <is>
          <t>模拟待校准</t>
        </is>
      </c>
      <c r="R39" t="inlineStr">
        <is>
          <t>用户指定新增场景；描述、提示词及映射为模拟内容，待产品能力确认。</t>
        </is>
      </c>
    </row>
    <row r="40">
      <c r="A40" t="inlineStr">
        <is>
          <t>S039</t>
        </is>
      </c>
      <c r="B40" t="inlineStr">
        <is>
          <t>走查产品需求</t>
        </is>
      </c>
      <c r="C40" t="inlineStr">
        <is>
          <t>质量检查与审核</t>
        </is>
      </c>
      <c r="D40" t="inlineStr">
        <is>
          <t>需求提交评审前，AI 按 PM 走查清单检查目标、场景、范围、逻辑和验收标准，输出修改建议。</t>
        </is>
      </c>
      <c r="E40" t="inlineStr">
        <is>
          <t>需求走查依赖产品经理个人经验，范围遗漏、逻辑断点和验收标准不清常在正式评审时才暴露。</t>
        </is>
      </c>
      <c r="F40" t="inlineStr">
        <is>
          <t>需求提交评审前，读取 PRD、原型和关联背景，按团队 PM 走查清单检查目标是否明确、用户场景是否闭环、范围边界是否清晰、异常流程是否覆盖、验收标准是否可验证，并将问题和修改建议回写到工作项。</t>
        </is>
      </c>
      <c r="G40" t="inlineStr">
        <is>
          <t>前置发现需求问题｜统一走查标准｜提升正式评审效率</t>
        </is>
      </c>
      <c r="H40" t="inlineStr">
        <is>
          <t>互联网｜消费电子｜游戏</t>
        </is>
      </c>
      <c r="I40" t="inlineStr">
        <is>
          <t>产品经理｜项目经理</t>
        </is>
      </c>
      <c r="J40" t="inlineStr">
        <is>
          <t>需求走查｜逻辑检查｜评审准备</t>
        </is>
      </c>
      <c r="K40" t="inlineStr">
        <is>
          <t>流程节点</t>
        </is>
      </c>
      <c r="O40" t="inlineStr">
        <is>
          <t>是</t>
        </is>
      </c>
      <c r="P40" t="n">
        <v>33</v>
      </c>
      <c r="Q40" t="inlineStr">
        <is>
          <t>模拟待校准</t>
        </is>
      </c>
      <c r="R40" t="inlineStr">
        <is>
          <t>用户指定新增场景；描述、提示词及映射为模拟内容，待产品能力确认。</t>
        </is>
      </c>
    </row>
    <row r="41">
      <c r="A41" t="inlineStr">
        <is>
          <t>S040</t>
        </is>
      </c>
      <c r="B41" t="inlineStr">
        <is>
          <t>总结项目成果</t>
        </is>
      </c>
      <c r="C41" t="inlineStr">
        <is>
          <t>内容撰写与总结</t>
        </is>
      </c>
      <c r="D41" t="inlineStr">
        <is>
          <t>项目或阶段结束后，AI 汇总目标达成、关键交付、风险处理和经验教训，生成项目总结初稿。</t>
        </is>
      </c>
      <c r="E41" t="inlineStr">
        <is>
          <t>项目总结依赖人工跨任务、文档和会议记录取数，容易只罗列过程，缺少目标对照和可复用经验。</t>
        </is>
      </c>
      <c r="F41" t="inlineStr">
        <is>
          <t>项目进入结项或阶段验收节点后，读取目标、里程碑、交付物、风险、变更和关键决策，生成包含目标达成情况、关键成果、问题与处理、经验教训和后续行动的项目总结，并保留信息来源。</t>
        </is>
      </c>
      <c r="G41" t="inlineStr">
        <is>
          <t>降低总结成本｜沉淀项目经验｜形成后续行动闭环</t>
        </is>
      </c>
      <c r="H41" t="inlineStr">
        <is>
          <t>互联网｜制造｜教育｜能源</t>
        </is>
      </c>
      <c r="I41" t="inlineStr">
        <is>
          <t>项目经理｜高管</t>
        </is>
      </c>
      <c r="J41" t="inlineStr">
        <is>
          <t>项目总结｜成果沉淀｜经验复用</t>
        </is>
      </c>
      <c r="K41" t="inlineStr">
        <is>
          <t>流程节点</t>
        </is>
      </c>
      <c r="O41" t="inlineStr">
        <is>
          <t>是</t>
        </is>
      </c>
      <c r="P41" t="n">
        <v>34</v>
      </c>
      <c r="Q41" t="inlineStr">
        <is>
          <t>模拟待校准</t>
        </is>
      </c>
      <c r="R41" t="inlineStr">
        <is>
          <t>用户指定新增场景；描述、提示词及映射为模拟内容，待产品能力确认。</t>
        </is>
      </c>
    </row>
    <row r="42">
      <c r="A42" t="inlineStr">
        <is>
          <t>S041</t>
        </is>
      </c>
      <c r="B42" t="inlineStr">
        <is>
          <t>撰写产品手册</t>
        </is>
      </c>
      <c r="C42" t="inlineStr">
        <is>
          <t>内容撰写与总结</t>
        </is>
      </c>
      <c r="D42" t="inlineStr">
        <is>
          <t>版本验收后，AI 汇总功能说明、操作步骤和注意事项，生成面向用户的产品手册初稿。</t>
        </is>
      </c>
      <c r="E42" t="inlineStr">
        <is>
          <t>产品手册需要人工汇总需求、原型和操作说明，更新经常滞后于版本，用户难以及时理解新功能。</t>
        </is>
      </c>
      <c r="F42" t="inlineStr">
        <is>
          <t>版本进入验收或发布节点后，读取已交付需求、功能说明、操作步骤、权限限制和常见问题，按产品手册目录生成面向用户的云文档，并标记缺失截图和待确认内容。</t>
        </is>
      </c>
      <c r="G42" t="inlineStr">
        <is>
          <t>缩短手册编写时间｜保持文档与版本一致｜降低用户学习成本</t>
        </is>
      </c>
      <c r="H42" t="inlineStr">
        <is>
          <t>互联网｜消费电子｜教育</t>
        </is>
      </c>
      <c r="I42" t="inlineStr">
        <is>
          <t>产品经理｜运营</t>
        </is>
      </c>
      <c r="J42" t="inlineStr">
        <is>
          <t>产品手册｜用户文档｜知识沉淀</t>
        </is>
      </c>
      <c r="K42" t="inlineStr">
        <is>
          <t>流程节点</t>
        </is>
      </c>
      <c r="O42" t="inlineStr">
        <is>
          <t>是</t>
        </is>
      </c>
      <c r="P42" t="n">
        <v>35</v>
      </c>
      <c r="Q42" t="inlineStr">
        <is>
          <t>模拟待校准</t>
        </is>
      </c>
      <c r="R42" t="inlineStr">
        <is>
          <t>用户指定新增场景；描述、提示词及映射为模拟内容，待产品能力确认。</t>
        </is>
      </c>
    </row>
    <row r="300"/>
  </sheetData>
  <autoFilter ref="A1:Q19"/>
  <conditionalFormatting sqref="P2:P300">
    <cfRule type="expression" priority="1" dxfId="0">
      <formula>$P2="模拟待校准"</formula>
    </cfRule>
    <cfRule type="expression" priority="2" dxfId="1">
      <formula>$P2="可发布"</formula>
    </cfRule>
  </conditionalFormatting>
  <dataValidations count="4">
    <dataValidation sqref="J2:J300" showDropDown="0" showInputMessage="0" showErrorMessage="0" allowBlank="1" errorTitle="值不符合规范" error="请选择下拉列表中的值" type="list">
      <formula1>"流程节点,图片"</formula1>
    </dataValidation>
    <dataValidation sqref="N2:N300" showDropDown="0" showInputMessage="0" showErrorMessage="0" allowBlank="1" errorTitle="值不符合规范" error="请选择下拉列表中的值" type="list">
      <formula1>"是,否"</formula1>
    </dataValidation>
    <dataValidation sqref="P2:P300" showDropDown="0" showInputMessage="0" showErrorMessage="0" allowBlank="1" errorTitle="值不符合规范" error="请选择下拉列表中的值" type="list">
      <formula1>"模拟待校准,草稿,可发布"</formula1>
    </dataValidation>
    <dataValidation sqref="C2:C300" showDropDown="0" showInputMessage="0" showErrorMessage="0" allowBlank="1" type="list">
      <formula1>"信息提取与补全,内容撰写与总结,计划拆解与协同,分类分派与流转,质量检查与审核,分析评估与预警"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0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22" customWidth="1" min="2" max="2"/>
    <col width="12" customWidth="1" min="3" max="4"/>
    <col width="36" customWidth="1" min="5" max="6"/>
    <col width="20" customWidth="1" min="7" max="7"/>
    <col width="14" customWidth="1" min="8" max="8"/>
    <col width="17" customWidth="1" min="9" max="9"/>
    <col width="12" customWidth="1" min="10" max="16"/>
    <col width="36" customWidth="1" min="17" max="17"/>
    <col width="12" customWidth="1" min="18" max="20"/>
    <col width="36" customWidth="1" min="21" max="21"/>
  </cols>
  <sheetData>
    <row r="1" ht="30" customHeight="1">
      <c r="A1" s="1" t="inlineStr">
        <is>
          <t>产品ID</t>
        </is>
      </c>
      <c r="B1" s="1" t="inlineStr">
        <is>
          <t>产品名称</t>
        </is>
      </c>
      <c r="C1" s="1" t="inlineStr">
        <is>
          <t>产品类型</t>
        </is>
      </c>
      <c r="D1" s="1" t="inlineStr">
        <is>
          <t>产品子类型</t>
        </is>
      </c>
      <c r="E1" s="1" t="inlineStr">
        <is>
          <t>卡片短描述</t>
        </is>
      </c>
      <c r="F1" s="1" t="inlineStr">
        <is>
          <t>详情介绍</t>
        </is>
      </c>
      <c r="G1" s="1" t="inlineStr">
        <is>
          <t>核心能力</t>
        </is>
      </c>
      <c r="H1" s="1" t="inlineStr">
        <is>
          <t>适用行业</t>
        </is>
      </c>
      <c r="I1" s="1" t="inlineStr">
        <is>
          <t>适用角色</t>
        </is>
      </c>
      <c r="J1" s="1" t="inlineStr">
        <is>
          <t>图标</t>
        </is>
      </c>
      <c r="K1" s="1" t="inlineStr">
        <is>
          <t>封面图片</t>
        </is>
      </c>
      <c r="L1" s="1" t="inlineStr">
        <is>
          <t>提供方</t>
        </is>
      </c>
      <c r="M1" s="1" t="inlineStr">
        <is>
          <t>最近更新时间</t>
        </is>
      </c>
      <c r="N1" s="1" t="inlineStr">
        <is>
          <t>直接使用链接</t>
        </is>
      </c>
      <c r="O1" s="1" t="inlineStr">
        <is>
          <t>配置说明链接</t>
        </is>
      </c>
      <c r="P1" s="1" t="inlineStr">
        <is>
          <t>产品文档链接</t>
        </is>
      </c>
      <c r="Q1" s="1" t="inlineStr">
        <is>
          <t>来源URL</t>
        </is>
      </c>
      <c r="R1" s="1" t="inlineStr">
        <is>
          <t>目录是否展示</t>
        </is>
      </c>
      <c r="S1" s="1" t="inlineStr">
        <is>
          <t>目录排序</t>
        </is>
      </c>
      <c r="T1" s="1" t="inlineStr">
        <is>
          <t>内容状态</t>
        </is>
      </c>
      <c r="U1" s="1" t="inlineStr">
        <is>
          <t>真实性备注</t>
        </is>
      </c>
    </row>
    <row r="2" ht="51" customHeight="1">
      <c r="A2" t="inlineStr">
        <is>
          <t>A001</t>
        </is>
      </c>
      <c r="B2" t="inlineStr">
        <is>
          <t>自定义指令</t>
        </is>
      </c>
      <c r="C2" t="inlineStr">
        <is>
          <t>AI应用</t>
        </is>
      </c>
      <c r="D2" t="inlineStr">
        <is>
          <t>AI字段</t>
        </is>
      </c>
      <c r="E2" t="inlineStr">
        <is>
          <t>灵活编写提示词，定制个性化 AI 输出。</t>
        </is>
      </c>
      <c r="F2" t="inlineStr">
        <is>
          <t>自定义指令用于灵活编写提示词，定制个性化 AI 输出，可作为相关最佳实践的实现资产。</t>
        </is>
      </c>
      <c r="G2" t="inlineStr">
        <is>
          <t>自定义提示词｜字段输出｜个性化配置</t>
        </is>
      </c>
      <c r="H2" t="inlineStr">
        <is>
          <t>互联网｜汽车｜制造｜金融</t>
        </is>
      </c>
      <c r="I2" t="inlineStr">
        <is>
          <t>产品经理｜项目经理｜研发｜测试</t>
        </is>
      </c>
      <c r="L2" t="inlineStr">
        <is>
          <t>飞书项目（模拟）</t>
        </is>
      </c>
      <c r="Q2" t="inlineStr">
        <is>
          <t>https://project.feishu.cn/home/developers</t>
        </is>
      </c>
      <c r="R2" t="inlineStr">
        <is>
          <t>是</t>
        </is>
      </c>
      <c r="S2" t="n">
        <v>1</v>
      </c>
      <c r="T2" t="inlineStr">
        <is>
          <t>草稿</t>
        </is>
      </c>
      <c r="U2" t="inlineStr">
        <is>
          <t>名称与核心描述来自飞书项目开放平台官网；图片、详情和目标链接仍需补充或复核。</t>
        </is>
      </c>
    </row>
    <row r="3" ht="51" customHeight="1">
      <c r="A3" t="inlineStr">
        <is>
          <t>A002</t>
        </is>
      </c>
      <c r="B3" t="inlineStr">
        <is>
          <t>智能打分</t>
        </is>
      </c>
      <c r="C3" t="inlineStr">
        <is>
          <t>AI应用</t>
        </is>
      </c>
      <c r="D3" t="inlineStr">
        <is>
          <t>AI字段</t>
        </is>
      </c>
      <c r="E3" t="inlineStr">
        <is>
          <t>按标准智能量化评分，提升评估效率。</t>
        </is>
      </c>
      <c r="F3" t="inlineStr">
        <is>
          <t>智能打分用于按标准智能量化评分，提升评估效率，可作为相关最佳实践的实现资产。</t>
        </is>
      </c>
      <c r="G3" t="inlineStr">
        <is>
          <t>评分标准｜量化评估｜结果写入</t>
        </is>
      </c>
      <c r="H3" t="inlineStr">
        <is>
          <t>互联网｜汽车｜制造｜金融</t>
        </is>
      </c>
      <c r="I3" t="inlineStr">
        <is>
          <t>产品经理｜项目经理｜研发｜测试</t>
        </is>
      </c>
      <c r="L3" t="inlineStr">
        <is>
          <t>飞书项目（模拟）</t>
        </is>
      </c>
      <c r="Q3" t="inlineStr">
        <is>
          <t>https://project.feishu.cn/home/developers</t>
        </is>
      </c>
      <c r="R3" t="inlineStr">
        <is>
          <t>是</t>
        </is>
      </c>
      <c r="S3" t="n">
        <v>2</v>
      </c>
      <c r="T3" t="inlineStr">
        <is>
          <t>草稿</t>
        </is>
      </c>
      <c r="U3" t="inlineStr">
        <is>
          <t>名称与核心描述来自飞书项目开放平台官网；图片、详情和目标链接仍需补充或复核。</t>
        </is>
      </c>
    </row>
    <row r="4" ht="51" customHeight="1">
      <c r="A4" t="inlineStr">
        <is>
          <t>A003</t>
        </is>
      </c>
      <c r="B4" t="inlineStr">
        <is>
          <t>分类打标</t>
        </is>
      </c>
      <c r="C4" t="inlineStr">
        <is>
          <t>AI应用</t>
        </is>
      </c>
      <c r="D4" t="inlineStr">
        <is>
          <t>AI字段</t>
        </is>
      </c>
      <c r="E4" t="inlineStr">
        <is>
          <t>智能匹配分类标签，提升内容检索效率。</t>
        </is>
      </c>
      <c r="F4" t="inlineStr">
        <is>
          <t>分类打标用于智能匹配分类标签，提升内容检索效率，可作为相关最佳实践的实现资产。</t>
        </is>
      </c>
      <c r="G4" t="inlineStr">
        <is>
          <t>智能分类｜标签匹配｜字段写入</t>
        </is>
      </c>
      <c r="H4" t="inlineStr">
        <is>
          <t>互联网｜汽车｜制造｜金融</t>
        </is>
      </c>
      <c r="I4" t="inlineStr">
        <is>
          <t>产品经理｜项目经理｜研发｜测试</t>
        </is>
      </c>
      <c r="L4" t="inlineStr">
        <is>
          <t>飞书项目（模拟）</t>
        </is>
      </c>
      <c r="Q4" t="inlineStr">
        <is>
          <t>https://project.feishu.cn/home/developers</t>
        </is>
      </c>
      <c r="R4" t="inlineStr">
        <is>
          <t>是</t>
        </is>
      </c>
      <c r="S4" t="n">
        <v>3</v>
      </c>
      <c r="T4" t="inlineStr">
        <is>
          <t>草稿</t>
        </is>
      </c>
      <c r="U4" t="inlineStr">
        <is>
          <t>名称与核心描述来自飞书项目开放平台官网；图片、详情和目标链接仍需补充或复核。</t>
        </is>
      </c>
    </row>
    <row r="5" ht="51" customHeight="1">
      <c r="A5" t="inlineStr">
        <is>
          <t>A004</t>
        </is>
      </c>
      <c r="B5" t="inlineStr">
        <is>
          <t>关键内容提取</t>
        </is>
      </c>
      <c r="C5" t="inlineStr">
        <is>
          <t>AI应用</t>
        </is>
      </c>
      <c r="D5" t="inlineStr">
        <is>
          <t>AI字段</t>
        </is>
      </c>
      <c r="E5" t="inlineStr">
        <is>
          <t>精准提取关键信息，提升文本处理效率。</t>
        </is>
      </c>
      <c r="F5" t="inlineStr">
        <is>
          <t>关键内容提取用于精准提取关键信息，提升文本处理效率，可作为相关最佳实践的实现资产。</t>
        </is>
      </c>
      <c r="G5" t="inlineStr">
        <is>
          <t>信息提取｜结构化输出｜字段写入</t>
        </is>
      </c>
      <c r="H5" t="inlineStr">
        <is>
          <t>互联网｜汽车｜制造｜金融</t>
        </is>
      </c>
      <c r="I5" t="inlineStr">
        <is>
          <t>产品经理｜项目经理｜研发｜测试</t>
        </is>
      </c>
      <c r="L5" t="inlineStr">
        <is>
          <t>飞书项目（模拟）</t>
        </is>
      </c>
      <c r="Q5" t="inlineStr">
        <is>
          <t>https://project.feishu.cn/home/developers</t>
        </is>
      </c>
      <c r="R5" t="inlineStr">
        <is>
          <t>是</t>
        </is>
      </c>
      <c r="S5" t="n">
        <v>4</v>
      </c>
      <c r="T5" t="inlineStr">
        <is>
          <t>草稿</t>
        </is>
      </c>
      <c r="U5" t="inlineStr">
        <is>
          <t>名称与核心描述来自飞书项目开放平台官网；图片、详情和目标链接仍需补充或复核。</t>
        </is>
      </c>
    </row>
    <row r="6" ht="51" customHeight="1">
      <c r="A6" t="inlineStr">
        <is>
          <t>A005</t>
        </is>
      </c>
      <c r="B6" t="inlineStr">
        <is>
          <t>内容总结</t>
        </is>
      </c>
      <c r="C6" t="inlineStr">
        <is>
          <t>AI应用</t>
        </is>
      </c>
      <c r="D6" t="inlineStr">
        <is>
          <t>AI字段</t>
        </is>
      </c>
      <c r="E6" t="inlineStr">
        <is>
          <t>智能提炼长文本，生成清晰结构化总结。</t>
        </is>
      </c>
      <c r="F6" t="inlineStr">
        <is>
          <t>内容总结用于智能提炼长文本，生成清晰结构化总结，可作为相关最佳实践的实现资产。</t>
        </is>
      </c>
      <c r="G6" t="inlineStr">
        <is>
          <t>长文总结｜结构化摘要｜字段生成</t>
        </is>
      </c>
      <c r="H6" t="inlineStr">
        <is>
          <t>互联网｜汽车｜制造｜金融</t>
        </is>
      </c>
      <c r="I6" t="inlineStr">
        <is>
          <t>产品经理｜项目经理｜研发｜测试</t>
        </is>
      </c>
      <c r="L6" t="inlineStr">
        <is>
          <t>飞书项目（模拟）</t>
        </is>
      </c>
      <c r="Q6" t="inlineStr">
        <is>
          <t>https://project.feishu.cn/home/developers</t>
        </is>
      </c>
      <c r="R6" t="inlineStr">
        <is>
          <t>是</t>
        </is>
      </c>
      <c r="S6" t="n">
        <v>5</v>
      </c>
      <c r="T6" t="inlineStr">
        <is>
          <t>草稿</t>
        </is>
      </c>
      <c r="U6" t="inlineStr">
        <is>
          <t>名称与核心描述来自飞书项目开放平台官网；图片、详情和目标链接仍需补充或复核。</t>
        </is>
      </c>
    </row>
    <row r="7" ht="51" customHeight="1">
      <c r="A7" t="inlineStr">
        <is>
          <t>A006</t>
        </is>
      </c>
      <c r="B7" t="inlineStr">
        <is>
          <t>智能翻译</t>
        </is>
      </c>
      <c r="C7" t="inlineStr">
        <is>
          <t>AI应用</t>
        </is>
      </c>
      <c r="D7" t="inlineStr">
        <is>
          <t>AI字段</t>
        </is>
      </c>
      <c r="E7" t="inlineStr">
        <is>
          <t>精准翻译多语言内容，保留原文语义结构。</t>
        </is>
      </c>
      <c r="F7" t="inlineStr">
        <is>
          <t>智能翻译用于精准翻译多语言内容，保留原文语义结构，可作为相关最佳实践的实现资产。</t>
        </is>
      </c>
      <c r="G7" t="inlineStr">
        <is>
          <t>多语言翻译｜语义保留｜字段生成</t>
        </is>
      </c>
      <c r="H7" t="inlineStr">
        <is>
          <t>互联网｜汽车｜制造｜金融</t>
        </is>
      </c>
      <c r="I7" t="inlineStr">
        <is>
          <t>产品经理｜项目经理｜研发｜测试</t>
        </is>
      </c>
      <c r="L7" t="inlineStr">
        <is>
          <t>飞书项目（模拟）</t>
        </is>
      </c>
      <c r="Q7" t="inlineStr">
        <is>
          <t>https://project.feishu.cn/home/developers</t>
        </is>
      </c>
      <c r="R7" t="inlineStr">
        <is>
          <t>是</t>
        </is>
      </c>
      <c r="S7" t="n">
        <v>6</v>
      </c>
      <c r="T7" t="inlineStr">
        <is>
          <t>草稿</t>
        </is>
      </c>
      <c r="U7" t="inlineStr">
        <is>
          <t>名称与核心描述来自飞书项目开放平台官网；图片、详情和目标链接仍需补充或复核。</t>
        </is>
      </c>
    </row>
    <row r="8" ht="51" customHeight="1">
      <c r="A8" t="inlineStr">
        <is>
          <t>A007</t>
        </is>
      </c>
      <c r="B8" t="inlineStr">
        <is>
          <t>AI 智能洞察</t>
        </is>
      </c>
      <c r="C8" t="inlineStr">
        <is>
          <t>AI应用</t>
        </is>
      </c>
      <c r="D8" t="inlineStr">
        <is>
          <t>AI节点</t>
        </is>
      </c>
      <c r="E8" t="inlineStr">
        <is>
          <t>一键分析项目数据，生成洞察报告。</t>
        </is>
      </c>
      <c r="F8" t="inlineStr">
        <is>
          <t>AI 智能洞察用于一键分析项目数据，生成洞察报告，可作为相关最佳实践的实现资产。</t>
        </is>
      </c>
      <c r="G8" t="inlineStr">
        <is>
          <t>项目分析｜洞察报告｜风险识别</t>
        </is>
      </c>
      <c r="H8" t="inlineStr">
        <is>
          <t>互联网｜汽车｜制造｜金融</t>
        </is>
      </c>
      <c r="I8" t="inlineStr">
        <is>
          <t>产品经理｜项目经理｜研发｜测试</t>
        </is>
      </c>
      <c r="L8" t="inlineStr">
        <is>
          <t>飞书项目（模拟）</t>
        </is>
      </c>
      <c r="Q8" t="inlineStr">
        <is>
          <t>https://project.feishu.cn/home/developers</t>
        </is>
      </c>
      <c r="R8" t="inlineStr">
        <is>
          <t>是</t>
        </is>
      </c>
      <c r="S8" t="n">
        <v>7</v>
      </c>
      <c r="T8" t="inlineStr">
        <is>
          <t>草稿</t>
        </is>
      </c>
      <c r="U8" t="inlineStr">
        <is>
          <t>名称与核心描述来自飞书项目开放平台官网；图片、详情和目标链接仍需补充或复核。</t>
        </is>
      </c>
    </row>
    <row r="9" ht="51" customHeight="1">
      <c r="A9" t="inlineStr">
        <is>
          <t>A008</t>
        </is>
      </c>
      <c r="B9" t="inlineStr">
        <is>
          <t>AI 智能填单</t>
        </is>
      </c>
      <c r="C9" t="inlineStr">
        <is>
          <t>AI应用</t>
        </is>
      </c>
      <c r="D9" t="inlineStr">
        <is>
          <t>AI节点</t>
        </is>
      </c>
      <c r="E9" t="inlineStr">
        <is>
          <t>智能提取文档信息，一键回填项目字段。</t>
        </is>
      </c>
      <c r="F9" t="inlineStr">
        <is>
          <t>AI 智能填单用于智能提取文档信息，一键回填项目字段，可作为相关最佳实践的实现资产。</t>
        </is>
      </c>
      <c r="G9" t="inlineStr">
        <is>
          <t>文档提取｜字段映射｜一键回填</t>
        </is>
      </c>
      <c r="H9" t="inlineStr">
        <is>
          <t>互联网｜汽车｜制造｜金融</t>
        </is>
      </c>
      <c r="I9" t="inlineStr">
        <is>
          <t>产品经理｜项目经理｜研发｜测试</t>
        </is>
      </c>
      <c r="L9" t="inlineStr">
        <is>
          <t>飞书项目（模拟）</t>
        </is>
      </c>
      <c r="Q9" t="inlineStr">
        <is>
          <t>https://project.feishu.cn/home/developers</t>
        </is>
      </c>
      <c r="R9" t="inlineStr">
        <is>
          <t>是</t>
        </is>
      </c>
      <c r="S9" t="n">
        <v>8</v>
      </c>
      <c r="T9" t="inlineStr">
        <is>
          <t>草稿</t>
        </is>
      </c>
      <c r="U9" t="inlineStr">
        <is>
          <t>名称与核心描述来自飞书项目开放平台官网；图片、详情和目标链接仍需补充或复核。</t>
        </is>
      </c>
    </row>
    <row r="10" ht="51" customHeight="1">
      <c r="A10" t="inlineStr">
        <is>
          <t>A009</t>
        </is>
      </c>
      <c r="B10" t="inlineStr">
        <is>
          <t>智能测试用例生成</t>
        </is>
      </c>
      <c r="C10" t="inlineStr">
        <is>
          <t>AI应用</t>
        </is>
      </c>
      <c r="D10" t="inlineStr">
        <is>
          <t>AI节点</t>
        </is>
      </c>
      <c r="E10" t="inlineStr">
        <is>
          <t>智能生成测试用例，提升覆盖率与交付效率。</t>
        </is>
      </c>
      <c r="F10" t="inlineStr">
        <is>
          <t>智能测试用例生成用于智能生成测试用例，提升覆盖率与交付效率，可作为相关最佳实践的实现资产。</t>
        </is>
      </c>
      <c r="G10" t="inlineStr">
        <is>
          <t>用例生成｜覆盖提升｜质量协同</t>
        </is>
      </c>
      <c r="H10" t="inlineStr">
        <is>
          <t>互联网｜汽车｜制造｜金融</t>
        </is>
      </c>
      <c r="I10" t="inlineStr">
        <is>
          <t>产品经理｜项目经理｜研发｜测试</t>
        </is>
      </c>
      <c r="L10" t="inlineStr">
        <is>
          <t>飞书项目（模拟）</t>
        </is>
      </c>
      <c r="Q10" t="inlineStr">
        <is>
          <t>https://project.feishu.cn/home/developers</t>
        </is>
      </c>
      <c r="R10" t="inlineStr">
        <is>
          <t>是</t>
        </is>
      </c>
      <c r="S10" t="n">
        <v>9</v>
      </c>
      <c r="T10" t="inlineStr">
        <is>
          <t>草稿</t>
        </is>
      </c>
      <c r="U10" t="inlineStr">
        <is>
          <t>名称与核心描述来自飞书项目开放平台官网；图片、详情和目标链接仍需补充或复核。</t>
        </is>
      </c>
    </row>
    <row r="11" ht="51" customHeight="1">
      <c r="A11" t="inlineStr">
        <is>
          <t>A010</t>
        </is>
      </c>
      <c r="B11" t="inlineStr">
        <is>
          <t>智能体连接器</t>
        </is>
      </c>
      <c r="C11" t="inlineStr">
        <is>
          <t>AI应用</t>
        </is>
      </c>
      <c r="D11" t="inlineStr">
        <is>
          <t>AI节点</t>
        </is>
      </c>
      <c r="E11" t="inlineStr">
        <is>
          <t>连接 Agent 与项目，自动流转任务。</t>
        </is>
      </c>
      <c r="F11" t="inlineStr">
        <is>
          <t>智能体连接器用于连接 Agent 与项目，自动流转任务，可作为相关最佳实践的实现资产。</t>
        </is>
      </c>
      <c r="G11" t="inlineStr">
        <is>
          <t>Agent 连接｜任务流转｜项目协同</t>
        </is>
      </c>
      <c r="H11" t="inlineStr">
        <is>
          <t>互联网｜汽车｜制造｜金融</t>
        </is>
      </c>
      <c r="I11" t="inlineStr">
        <is>
          <t>产品经理｜项目经理｜研发｜测试</t>
        </is>
      </c>
      <c r="L11" t="inlineStr">
        <is>
          <t>飞书项目（模拟）</t>
        </is>
      </c>
      <c r="Q11" t="inlineStr">
        <is>
          <t>https://project.feishu.cn/home/developers</t>
        </is>
      </c>
      <c r="R11" t="inlineStr">
        <is>
          <t>是</t>
        </is>
      </c>
      <c r="S11" t="n">
        <v>10</v>
      </c>
      <c r="T11" t="inlineStr">
        <is>
          <t>草稿</t>
        </is>
      </c>
      <c r="U11" t="inlineStr">
        <is>
          <t>名称与核心描述来自飞书项目开放平台官网；图片、详情和目标链接仍需补充或复核。</t>
        </is>
      </c>
    </row>
    <row r="12" ht="51" customHeight="1">
      <c r="A12" t="inlineStr">
        <is>
          <t>A011</t>
        </is>
      </c>
      <c r="B12" t="inlineStr">
        <is>
          <t>AI 生成云文档</t>
        </is>
      </c>
      <c r="C12" t="inlineStr">
        <is>
          <t>AI应用</t>
        </is>
      </c>
      <c r="D12" t="inlineStr">
        <is>
          <t>AI节点</t>
        </is>
      </c>
      <c r="E12" t="inlineStr">
        <is>
          <t>智能生成规范需求文档，提升 PRD 产出效率。</t>
        </is>
      </c>
      <c r="F12" t="inlineStr">
        <is>
          <t>AI 生成云文档用于智能生成规范需求文档，提升 PRD 产出效率，可作为相关最佳实践的实现资产。</t>
        </is>
      </c>
      <c r="G12" t="inlineStr">
        <is>
          <t>需求文档｜规范生成｜云文档</t>
        </is>
      </c>
      <c r="H12" t="inlineStr">
        <is>
          <t>互联网｜汽车｜制造｜金融</t>
        </is>
      </c>
      <c r="I12" t="inlineStr">
        <is>
          <t>产品经理｜项目经理｜研发｜测试</t>
        </is>
      </c>
      <c r="L12" t="inlineStr">
        <is>
          <t>飞书项目（模拟）</t>
        </is>
      </c>
      <c r="Q12" t="inlineStr">
        <is>
          <t>https://project.feishu.cn/home/developers</t>
        </is>
      </c>
      <c r="R12" t="inlineStr">
        <is>
          <t>是</t>
        </is>
      </c>
      <c r="S12" t="n">
        <v>11</v>
      </c>
      <c r="T12" t="inlineStr">
        <is>
          <t>草稿</t>
        </is>
      </c>
      <c r="U12" t="inlineStr">
        <is>
          <t>名称与核心描述来自飞书项目开放平台官网；图片、详情和目标链接仍需补充或复核。</t>
        </is>
      </c>
    </row>
    <row r="13" ht="51" customHeight="1">
      <c r="A13" t="inlineStr">
        <is>
          <t>A012</t>
        </is>
      </c>
      <c r="B13" t="inlineStr">
        <is>
          <t>智能会议分析</t>
        </is>
      </c>
      <c r="C13" t="inlineStr">
        <is>
          <t>AI应用</t>
        </is>
      </c>
      <c r="D13" t="inlineStr">
        <is>
          <t>AI节点</t>
        </is>
      </c>
      <c r="E13" t="inlineStr">
        <is>
          <t>智能分析会议内容，一键生成项目子任务。</t>
        </is>
      </c>
      <c r="F13" t="inlineStr">
        <is>
          <t>智能会议分析用于智能分析会议内容，一键生成项目子任务，可作为相关最佳实践的实现资产。</t>
        </is>
      </c>
      <c r="G13" t="inlineStr">
        <is>
          <t>会议分析｜子任务生成｜行动项提取</t>
        </is>
      </c>
      <c r="H13" t="inlineStr">
        <is>
          <t>互联网｜汽车｜制造｜金融</t>
        </is>
      </c>
      <c r="I13" t="inlineStr">
        <is>
          <t>产品经理｜项目经理｜研发｜测试</t>
        </is>
      </c>
      <c r="L13" t="inlineStr">
        <is>
          <t>飞书项目（模拟）</t>
        </is>
      </c>
      <c r="Q13" t="inlineStr">
        <is>
          <t>https://project.feishu.cn/home/developers</t>
        </is>
      </c>
      <c r="R13" t="inlineStr">
        <is>
          <t>是</t>
        </is>
      </c>
      <c r="S13" t="n">
        <v>12</v>
      </c>
      <c r="T13" t="inlineStr">
        <is>
          <t>草稿</t>
        </is>
      </c>
      <c r="U13" t="inlineStr">
        <is>
          <t>名称与核心描述来自飞书项目开放平台官网；图片、详情和目标链接仍需补充或复核。</t>
        </is>
      </c>
    </row>
    <row r="14" ht="68" customHeight="1">
      <c r="A14" t="inlineStr">
        <is>
          <t>P001</t>
        </is>
      </c>
      <c r="B14" t="inlineStr">
        <is>
          <t>工时资源管理</t>
        </is>
      </c>
      <c r="C14" t="inlineStr">
        <is>
          <t>插件</t>
        </is>
      </c>
      <c r="D14" t="inlineStr">
        <is>
          <t>资源管理</t>
        </is>
      </c>
      <c r="E14" t="inlineStr">
        <is>
          <t>连接人力资源与运营成本，支持工时填报、审批、统计与多维分析。</t>
        </is>
      </c>
      <c r="F14" t="inlineStr">
        <is>
          <t>工时资源管理用于连接人力资源与运营成本，支持工时填报、审批、统计与多维分析，可作为相关最佳实践的实现资产。</t>
        </is>
      </c>
      <c r="G14" t="inlineStr">
        <is>
          <t>工时填报｜工时审批｜多维分析</t>
        </is>
      </c>
      <c r="H14" t="inlineStr">
        <is>
          <t>互联网｜汽车｜制造｜金融</t>
        </is>
      </c>
      <c r="I14" t="inlineStr">
        <is>
          <t>项目经理｜研发｜测试｜运营</t>
        </is>
      </c>
      <c r="L14" t="inlineStr">
        <is>
          <t>飞书项目（模拟）</t>
        </is>
      </c>
      <c r="Q14" t="inlineStr">
        <is>
          <t>https://project.feishu.cn/home/developers</t>
        </is>
      </c>
      <c r="R14" t="inlineStr">
        <is>
          <t>是</t>
        </is>
      </c>
      <c r="S14" t="n">
        <v>1</v>
      </c>
      <c r="T14" t="inlineStr">
        <is>
          <t>草稿</t>
        </is>
      </c>
      <c r="U14" t="inlineStr">
        <is>
          <t>名称与核心描述来自飞书项目开放平台官网；图片、详情和目标链接仍需补充或复核。</t>
        </is>
      </c>
    </row>
    <row r="15" ht="68" customHeight="1">
      <c r="A15" t="inlineStr">
        <is>
          <t>P002</t>
        </is>
      </c>
      <c r="B15" t="inlineStr">
        <is>
          <t>ITSM·工单通</t>
        </is>
      </c>
      <c r="C15" t="inlineStr">
        <is>
          <t>插件</t>
        </is>
      </c>
      <c r="D15" t="inlineStr">
        <is>
          <t>工单集成</t>
        </is>
      </c>
      <c r="E15" t="inlineStr">
        <is>
          <t>打通内外流程闭环，支持服务门户、审批流、客户管理与 SLA 管控。</t>
        </is>
      </c>
      <c r="F15" t="inlineStr">
        <is>
          <t>ITSM·工单通用于打通内外流程闭环，支持服务门户、审批流、客户管理与 SLA 管控，可作为相关最佳实践的实现资产。</t>
        </is>
      </c>
      <c r="G15" t="inlineStr">
        <is>
          <t>服务门户｜工单建单｜SLA 管控</t>
        </is>
      </c>
      <c r="H15" t="inlineStr">
        <is>
          <t>互联网｜汽车｜制造｜金融</t>
        </is>
      </c>
      <c r="I15" t="inlineStr">
        <is>
          <t>项目经理｜研发｜测试｜运营</t>
        </is>
      </c>
      <c r="L15" t="inlineStr">
        <is>
          <t>飞书项目（模拟）</t>
        </is>
      </c>
      <c r="Q15" t="inlineStr">
        <is>
          <t>https://project.feishu.cn/home/developers</t>
        </is>
      </c>
      <c r="R15" t="inlineStr">
        <is>
          <t>是</t>
        </is>
      </c>
      <c r="S15" t="n">
        <v>2</v>
      </c>
      <c r="T15" t="inlineStr">
        <is>
          <t>草稿</t>
        </is>
      </c>
      <c r="U15" t="inlineStr">
        <is>
          <t>名称与核心描述来自飞书项目开放平台官网；图片、详情和目标链接仍需补充或复核。</t>
        </is>
      </c>
    </row>
    <row r="16" ht="51" customHeight="1">
      <c r="A16" t="inlineStr">
        <is>
          <t>P003</t>
        </is>
      </c>
      <c r="B16" t="inlineStr">
        <is>
          <t>合同审核</t>
        </is>
      </c>
      <c r="C16" t="inlineStr">
        <is>
          <t>插件</t>
        </is>
      </c>
      <c r="D16" t="inlineStr">
        <is>
          <t>合同管理</t>
        </is>
      </c>
      <c r="E16" t="inlineStr">
        <is>
          <t>通过 AI 辅助合同审查，自动识别风险并输出风险清单。</t>
        </is>
      </c>
      <c r="F16" t="inlineStr">
        <is>
          <t>合同审核用于通过 AI 辅助合同审查，自动识别风险并输出风险清单，可作为相关最佳实践的实现资产。</t>
        </is>
      </c>
      <c r="G16" t="inlineStr">
        <is>
          <t>合同审查｜风险识别｜风险清单</t>
        </is>
      </c>
      <c r="H16" t="inlineStr">
        <is>
          <t>互联网｜汽车｜制造｜金融</t>
        </is>
      </c>
      <c r="I16" t="inlineStr">
        <is>
          <t>项目经理｜研发｜测试｜运营</t>
        </is>
      </c>
      <c r="L16" t="inlineStr">
        <is>
          <t>飞书项目（模拟）</t>
        </is>
      </c>
      <c r="Q16" t="inlineStr">
        <is>
          <t>https://project.feishu.cn/home/developers</t>
        </is>
      </c>
      <c r="R16" t="inlineStr">
        <is>
          <t>是</t>
        </is>
      </c>
      <c r="S16" t="n">
        <v>3</v>
      </c>
      <c r="T16" t="inlineStr">
        <is>
          <t>草稿</t>
        </is>
      </c>
      <c r="U16" t="inlineStr">
        <is>
          <t>名称与核心描述来自飞书项目开放平台官网；图片、详情和目标链接仍需补充或复核。</t>
        </is>
      </c>
    </row>
    <row r="17" ht="68" customHeight="1">
      <c r="A17" t="inlineStr">
        <is>
          <t>P004</t>
        </is>
      </c>
      <c r="B17" t="inlineStr">
        <is>
          <t>文件资源管理</t>
        </is>
      </c>
      <c r="C17" t="inlineStr">
        <is>
          <t>插件</t>
        </is>
      </c>
      <c r="D17" t="inlineStr">
        <is>
          <t>文档集成</t>
        </is>
      </c>
      <c r="E17" t="inlineStr">
        <is>
          <t>支持项目文件集中管理、异步上传、权限配置与统一检索。</t>
        </is>
      </c>
      <c r="F17" t="inlineStr">
        <is>
          <t>文件资源管理用于支持项目文件集中管理、异步上传、权限配置与统一检索，可作为相关最佳实践的实现资产。</t>
        </is>
      </c>
      <c r="G17" t="inlineStr">
        <is>
          <t>文件管理｜异步上传｜权限配置</t>
        </is>
      </c>
      <c r="H17" t="inlineStr">
        <is>
          <t>互联网｜汽车｜制造｜金融</t>
        </is>
      </c>
      <c r="I17" t="inlineStr">
        <is>
          <t>项目经理｜研发｜测试｜运营</t>
        </is>
      </c>
      <c r="L17" t="inlineStr">
        <is>
          <t>飞书项目（模拟）</t>
        </is>
      </c>
      <c r="Q17" t="inlineStr">
        <is>
          <t>https://project.feishu.cn/home/developers</t>
        </is>
      </c>
      <c r="R17" t="inlineStr">
        <is>
          <t>是</t>
        </is>
      </c>
      <c r="S17" t="n">
        <v>4</v>
      </c>
      <c r="T17" t="inlineStr">
        <is>
          <t>草稿</t>
        </is>
      </c>
      <c r="U17" t="inlineStr">
        <is>
          <t>名称与核心描述来自飞书项目开放平台官网；图片、详情和目标链接仍需补充或复核。</t>
        </is>
      </c>
    </row>
    <row r="18" ht="51" customHeight="1">
      <c r="A18" t="inlineStr">
        <is>
          <t>P005</t>
        </is>
      </c>
      <c r="B18" t="inlineStr">
        <is>
          <t>组织架构</t>
        </is>
      </c>
      <c r="C18" t="inlineStr">
        <is>
          <t>插件</t>
        </is>
      </c>
      <c r="D18" t="inlineStr">
        <is>
          <t>数据展示</t>
        </is>
      </c>
      <c r="E18" t="inlineStr">
        <is>
          <t>将客户对接人按层级关系可视化呈现。</t>
        </is>
      </c>
      <c r="F18" t="inlineStr">
        <is>
          <t>组织架构用于将客户对接人按层级关系可视化呈现，可作为相关最佳实践的实现资产。</t>
        </is>
      </c>
      <c r="G18" t="inlineStr">
        <is>
          <t>组织关系｜联系人信息｜可视化展示</t>
        </is>
      </c>
      <c r="H18" t="inlineStr">
        <is>
          <t>互联网｜汽车｜制造｜金融</t>
        </is>
      </c>
      <c r="I18" t="inlineStr">
        <is>
          <t>项目经理｜研发｜测试｜运营</t>
        </is>
      </c>
      <c r="L18" t="inlineStr">
        <is>
          <t>飞书项目（模拟）</t>
        </is>
      </c>
      <c r="Q18" t="inlineStr">
        <is>
          <t>https://project.feishu.cn/home/developers</t>
        </is>
      </c>
      <c r="R18" t="inlineStr">
        <is>
          <t>是</t>
        </is>
      </c>
      <c r="S18" t="n">
        <v>5</v>
      </c>
      <c r="T18" t="inlineStr">
        <is>
          <t>草稿</t>
        </is>
      </c>
      <c r="U18" t="inlineStr">
        <is>
          <t>名称与核心描述来自飞书项目开放平台官网；图片、详情和目标链接仍需补充或复核。</t>
        </is>
      </c>
    </row>
    <row r="19" ht="51" customHeight="1">
      <c r="A19" t="inlineStr">
        <is>
          <t>P006</t>
        </is>
      </c>
      <c r="B19" t="inlineStr">
        <is>
          <t>企业信息补全</t>
        </is>
      </c>
      <c r="C19" t="inlineStr">
        <is>
          <t>插件</t>
        </is>
      </c>
      <c r="D19" t="inlineStr">
        <is>
          <t>数据服务</t>
        </is>
      </c>
      <c r="E19" t="inlineStr">
        <is>
          <t>录入客户时自动查询企业基础信息，减少重复数据。</t>
        </is>
      </c>
      <c r="F19" t="inlineStr">
        <is>
          <t>企业信息补全用于录入客户时自动查询企业基础信息，减少重复数据，可作为相关最佳实践的实现资产。</t>
        </is>
      </c>
      <c r="G19" t="inlineStr">
        <is>
          <t>企业查询｜信息补全｜重复校验</t>
        </is>
      </c>
      <c r="H19" t="inlineStr">
        <is>
          <t>互联网｜汽车｜制造｜金融</t>
        </is>
      </c>
      <c r="I19" t="inlineStr">
        <is>
          <t>项目经理｜研发｜测试｜运营</t>
        </is>
      </c>
      <c r="L19" t="inlineStr">
        <is>
          <t>飞书项目（模拟）</t>
        </is>
      </c>
      <c r="Q19" t="inlineStr">
        <is>
          <t>https://project.feishu.cn/home/developers</t>
        </is>
      </c>
      <c r="R19" t="inlineStr">
        <is>
          <t>是</t>
        </is>
      </c>
      <c r="S19" t="n">
        <v>6</v>
      </c>
      <c r="T19" t="inlineStr">
        <is>
          <t>草稿</t>
        </is>
      </c>
      <c r="U19" t="inlineStr">
        <is>
          <t>名称与核心描述来自飞书项目开放平台官网；图片、详情和目标链接仍需补充或复核。</t>
        </is>
      </c>
    </row>
    <row r="20" ht="68" customHeight="1">
      <c r="A20" t="inlineStr">
        <is>
          <t>P007</t>
        </is>
      </c>
      <c r="B20" t="inlineStr">
        <is>
          <t>GitLab 研发连接器</t>
        </is>
      </c>
      <c r="C20" t="inlineStr">
        <is>
          <t>插件</t>
        </is>
      </c>
      <c r="D20" t="inlineStr">
        <is>
          <t>代码集成</t>
        </is>
      </c>
      <c r="E20" t="inlineStr">
        <is>
          <t>关联 Branch、Commit、MR 与工作项，并通过 Merge 事件自动流转。</t>
        </is>
      </c>
      <c r="F20" t="inlineStr">
        <is>
          <t>GitLab 研发连接器用于关联 Branch、Commit、MR 与工作项，并通过 Merge 事件自动流转，可作为相关最佳实践的实现资产。</t>
        </is>
      </c>
      <c r="G20" t="inlineStr">
        <is>
          <t>代码关联｜状态同步｜研发追溯</t>
        </is>
      </c>
      <c r="H20" t="inlineStr">
        <is>
          <t>互联网｜汽车｜制造｜金融</t>
        </is>
      </c>
      <c r="I20" t="inlineStr">
        <is>
          <t>项目经理｜研发｜测试｜运营</t>
        </is>
      </c>
      <c r="L20" t="inlineStr">
        <is>
          <t>飞书项目（模拟）</t>
        </is>
      </c>
      <c r="Q20" t="inlineStr">
        <is>
          <t>https://project.feishu.cn/home/developers</t>
        </is>
      </c>
      <c r="R20" t="inlineStr">
        <is>
          <t>是</t>
        </is>
      </c>
      <c r="S20" t="n">
        <v>7</v>
      </c>
      <c r="T20" t="inlineStr">
        <is>
          <t>草稿</t>
        </is>
      </c>
      <c r="U20" t="inlineStr">
        <is>
          <t>名称与核心描述来自飞书项目开放平台官网；图片、详情和目标链接仍需补充或复核。</t>
        </is>
      </c>
    </row>
    <row r="21" ht="51" customHeight="1">
      <c r="A21" t="inlineStr">
        <is>
          <t>P008</t>
        </is>
      </c>
      <c r="B21" t="inlineStr">
        <is>
          <t>多维表格同步</t>
        </is>
      </c>
      <c r="C21" t="inlineStr">
        <is>
          <t>插件</t>
        </is>
      </c>
      <c r="D21" t="inlineStr">
        <is>
          <t>数据同步</t>
        </is>
      </c>
      <c r="E21" t="inlineStr">
        <is>
          <t>在项目工作项与多维表格间同步结构化数据。</t>
        </is>
      </c>
      <c r="F21" t="inlineStr">
        <is>
          <t>多维表格同步用于在项目工作项与多维表格间同步结构化数据，可作为相关最佳实践的实现资产。</t>
        </is>
      </c>
      <c r="G21" t="inlineStr">
        <is>
          <t>双向同步｜字段映射｜冲突处理</t>
        </is>
      </c>
      <c r="H21" t="inlineStr">
        <is>
          <t>互联网｜汽车｜制造｜金融</t>
        </is>
      </c>
      <c r="I21" t="inlineStr">
        <is>
          <t>项目经理｜研发｜测试｜运营</t>
        </is>
      </c>
      <c r="L21" t="inlineStr">
        <is>
          <t>飞书项目（模拟）</t>
        </is>
      </c>
      <c r="R21" t="inlineStr">
        <is>
          <t>是</t>
        </is>
      </c>
      <c r="S21" t="n">
        <v>8</v>
      </c>
      <c r="T21" t="inlineStr">
        <is>
          <t>模拟待校准</t>
        </is>
      </c>
      <c r="U21" t="inlineStr">
        <is>
          <t>演示命名与描述；上线前请替换为真实产品名称、截图、链接和官方说明。</t>
        </is>
      </c>
    </row>
    <row r="22" ht="51" customHeight="1">
      <c r="A22" t="inlineStr">
        <is>
          <t>P009</t>
        </is>
      </c>
      <c r="B22" t="inlineStr">
        <is>
          <t>飞书消息转任务</t>
        </is>
      </c>
      <c r="C22" t="inlineStr">
        <is>
          <t>插件</t>
        </is>
      </c>
      <c r="D22" t="inlineStr">
        <is>
          <t>消息集成</t>
        </is>
      </c>
      <c r="E22" t="inlineStr">
        <is>
          <t>将会话消息快速创建为项目任务并保留来源。</t>
        </is>
      </c>
      <c r="F22" t="inlineStr">
        <is>
          <t>飞书消息转任务用于将会话消息快速创建为项目任务并保留来源，可作为相关最佳实践的实现资产。</t>
        </is>
      </c>
      <c r="G22" t="inlineStr">
        <is>
          <t>消息建单｜上下文保留｜任务关联</t>
        </is>
      </c>
      <c r="H22" t="inlineStr">
        <is>
          <t>互联网｜汽车｜制造｜金融</t>
        </is>
      </c>
      <c r="I22" t="inlineStr">
        <is>
          <t>项目经理｜研发｜测试｜运营</t>
        </is>
      </c>
      <c r="L22" t="inlineStr">
        <is>
          <t>飞书项目（模拟）</t>
        </is>
      </c>
      <c r="R22" t="inlineStr">
        <is>
          <t>是</t>
        </is>
      </c>
      <c r="S22" t="n">
        <v>9</v>
      </c>
      <c r="T22" t="inlineStr">
        <is>
          <t>模拟待校准</t>
        </is>
      </c>
      <c r="U22" t="inlineStr">
        <is>
          <t>演示命名与描述；上线前请替换为真实产品名称、截图、链接和官方说明。</t>
        </is>
      </c>
    </row>
    <row r="23" ht="51" customHeight="1">
      <c r="A23" t="inlineStr">
        <is>
          <t>P010</t>
        </is>
      </c>
      <c r="B23" t="inlineStr">
        <is>
          <t>测试管理增强</t>
        </is>
      </c>
      <c r="C23" t="inlineStr">
        <is>
          <t>插件</t>
        </is>
      </c>
      <c r="D23" t="inlineStr">
        <is>
          <t>质量管理</t>
        </is>
      </c>
      <c r="E23" t="inlineStr">
        <is>
          <t>管理测试计划、用例、执行与缺陷关联。</t>
        </is>
      </c>
      <c r="F23" t="inlineStr">
        <is>
          <t>测试管理增强用于管理测试计划、用例、执行与缺陷关联，可作为相关最佳实践的实现资产。</t>
        </is>
      </c>
      <c r="G23" t="inlineStr">
        <is>
          <t>用例管理｜执行跟踪｜覆盖分析</t>
        </is>
      </c>
      <c r="H23" t="inlineStr">
        <is>
          <t>互联网｜汽车｜制造｜金融</t>
        </is>
      </c>
      <c r="I23" t="inlineStr">
        <is>
          <t>项目经理｜研发｜测试｜运营</t>
        </is>
      </c>
      <c r="L23" t="inlineStr">
        <is>
          <t>飞书项目（模拟）</t>
        </is>
      </c>
      <c r="R23" t="inlineStr">
        <is>
          <t>是</t>
        </is>
      </c>
      <c r="S23" t="n">
        <v>10</v>
      </c>
      <c r="T23" t="inlineStr">
        <is>
          <t>模拟待校准</t>
        </is>
      </c>
      <c r="U23" t="inlineStr">
        <is>
          <t>演示命名与描述；上线前请替换为真实产品名称、截图、链接和官方说明。</t>
        </is>
      </c>
    </row>
    <row r="24" ht="51" customHeight="1">
      <c r="A24" t="inlineStr">
        <is>
          <t>P011</t>
        </is>
      </c>
      <c r="B24" t="inlineStr">
        <is>
          <t>审批流程增强</t>
        </is>
      </c>
      <c r="C24" t="inlineStr">
        <is>
          <t>插件</t>
        </is>
      </c>
      <c r="D24" t="inlineStr">
        <is>
          <t>流程增强</t>
        </is>
      </c>
      <c r="E24" t="inlineStr">
        <is>
          <t>为复杂业务提供多级审批与条件流转能力。</t>
        </is>
      </c>
      <c r="F24" t="inlineStr">
        <is>
          <t>审批流程增强用于为复杂业务提供多级审批与条件流转能力，可作为相关最佳实践的实现资产。</t>
        </is>
      </c>
      <c r="G24" t="inlineStr">
        <is>
          <t>条件审批｜多级流转｜审计记录</t>
        </is>
      </c>
      <c r="H24" t="inlineStr">
        <is>
          <t>互联网｜汽车｜制造｜金融</t>
        </is>
      </c>
      <c r="I24" t="inlineStr">
        <is>
          <t>项目经理｜研发｜测试｜运营</t>
        </is>
      </c>
      <c r="L24" t="inlineStr">
        <is>
          <t>飞书项目（模拟）</t>
        </is>
      </c>
      <c r="R24" t="inlineStr">
        <is>
          <t>是</t>
        </is>
      </c>
      <c r="S24" t="n">
        <v>11</v>
      </c>
      <c r="T24" t="inlineStr">
        <is>
          <t>模拟待校准</t>
        </is>
      </c>
      <c r="U24" t="inlineStr">
        <is>
          <t>演示命名与描述；上线前请替换为真实产品名称、截图、链接和官方说明。</t>
        </is>
      </c>
    </row>
    <row r="25" ht="51" customHeight="1">
      <c r="A25" t="inlineStr">
        <is>
          <t>P012</t>
        </is>
      </c>
      <c r="B25" t="inlineStr">
        <is>
          <t>开放 API 调试台</t>
        </is>
      </c>
      <c r="C25" t="inlineStr">
        <is>
          <t>插件</t>
        </is>
      </c>
      <c r="D25" t="inlineStr">
        <is>
          <t>开发工具</t>
        </is>
      </c>
      <c r="E25" t="inlineStr">
        <is>
          <t>辅助调试项目开放接口与事件订阅。</t>
        </is>
      </c>
      <c r="F25" t="inlineStr">
        <is>
          <t>开放 API 调试台用于辅助调试项目开放接口与事件订阅，可作为相关最佳实践的实现资产。</t>
        </is>
      </c>
      <c r="G25" t="inlineStr">
        <is>
          <t>接口调试｜事件验证｜日志查看</t>
        </is>
      </c>
      <c r="H25" t="inlineStr">
        <is>
          <t>互联网｜汽车｜制造｜金融</t>
        </is>
      </c>
      <c r="I25" t="inlineStr">
        <is>
          <t>项目经理｜研发｜测试｜运营</t>
        </is>
      </c>
      <c r="L25" t="inlineStr">
        <is>
          <t>飞书项目（模拟）</t>
        </is>
      </c>
      <c r="R25" t="inlineStr">
        <is>
          <t>是</t>
        </is>
      </c>
      <c r="S25" t="n">
        <v>12</v>
      </c>
      <c r="T25" t="inlineStr">
        <is>
          <t>模拟待校准</t>
        </is>
      </c>
      <c r="U25" t="inlineStr">
        <is>
          <t>演示命名与描述；上线前请替换为真实产品名称、截图、链接和官方说明。</t>
        </is>
      </c>
    </row>
    <row r="26" ht="51" customHeight="1">
      <c r="A26" t="inlineStr">
        <is>
          <t>T001</t>
        </is>
      </c>
      <c r="B26" t="inlineStr">
        <is>
          <t>DSTE战略到执行</t>
        </is>
      </c>
      <c r="C26" t="inlineStr">
        <is>
          <t>模板</t>
        </is>
      </c>
      <c r="D26" t="inlineStr">
        <is>
          <t>战略管理</t>
        </is>
      </c>
      <c r="E26" t="inlineStr">
        <is>
          <t>打通战略制定、目标分解、项目推进与经营复盘。</t>
        </is>
      </c>
      <c r="F26" t="inlineStr">
        <is>
          <t>DSTE战略到执行用于打通战略制定、目标分解、项目推进与经营复盘，可作为相关最佳实践的实现资产。</t>
        </is>
      </c>
      <c r="G26" t="inlineStr">
        <is>
          <t>战略地图｜指标看板｜执行闭环</t>
        </is>
      </c>
      <c r="H26" t="inlineStr">
        <is>
          <t>互联网｜汽车｜制造｜零售</t>
        </is>
      </c>
      <c r="I26" t="inlineStr">
        <is>
          <t>项目经理｜产品经理｜运营｜高管</t>
        </is>
      </c>
      <c r="L26" t="inlineStr">
        <is>
          <t>飞书项目（模拟）</t>
        </is>
      </c>
      <c r="Q26" t="inlineStr">
        <is>
          <t>https://project.feishu.cn/home/developers</t>
        </is>
      </c>
      <c r="R26" t="inlineStr">
        <is>
          <t>是</t>
        </is>
      </c>
      <c r="S26" t="n">
        <v>1</v>
      </c>
      <c r="T26" t="inlineStr">
        <is>
          <t>草稿</t>
        </is>
      </c>
      <c r="U26" t="inlineStr">
        <is>
          <t>名称与核心描述来自飞书项目开放平台官网；图片、详情和目标链接仍需补充或复核。</t>
        </is>
      </c>
    </row>
    <row r="27" ht="68" customHeight="1">
      <c r="A27" t="inlineStr">
        <is>
          <t>T002</t>
        </is>
      </c>
      <c r="B27" t="inlineStr">
        <is>
          <t>软件研发管理</t>
        </is>
      </c>
      <c r="C27" t="inlineStr">
        <is>
          <t>模板</t>
        </is>
      </c>
      <c r="D27" t="inlineStr">
        <is>
          <t>研发管理</t>
        </is>
      </c>
      <c r="E27" t="inlineStr">
        <is>
          <t>覆盖需求、任务、缺陷、迭代、测试、代码与发布全流程。</t>
        </is>
      </c>
      <c r="F27" t="inlineStr">
        <is>
          <t>软件研发管理用于覆盖需求、任务、缺陷、迭代、测试、代码与发布全流程，可作为相关最佳实践的实现资产。</t>
        </is>
      </c>
      <c r="G27" t="inlineStr">
        <is>
          <t>需求管理｜迭代管理｜质量追踪</t>
        </is>
      </c>
      <c r="H27" t="inlineStr">
        <is>
          <t>互联网｜汽车｜制造｜零售</t>
        </is>
      </c>
      <c r="I27" t="inlineStr">
        <is>
          <t>项目经理｜产品经理｜运营｜高管</t>
        </is>
      </c>
      <c r="L27" t="inlineStr">
        <is>
          <t>飞书项目（模拟）</t>
        </is>
      </c>
      <c r="Q27" t="inlineStr">
        <is>
          <t>https://project.feishu.cn/home/developers</t>
        </is>
      </c>
      <c r="R27" t="inlineStr">
        <is>
          <t>是</t>
        </is>
      </c>
      <c r="S27" t="n">
        <v>2</v>
      </c>
      <c r="T27" t="inlineStr">
        <is>
          <t>草稿</t>
        </is>
      </c>
      <c r="U27" t="inlineStr">
        <is>
          <t>名称与核心描述来自飞书项目开放平台官网；图片、详情和目标链接仍需补充或复核。</t>
        </is>
      </c>
    </row>
    <row r="28" ht="51" customHeight="1">
      <c r="A28" t="inlineStr">
        <is>
          <t>T003</t>
        </is>
      </c>
      <c r="B28" t="inlineStr">
        <is>
          <t>内容制作全流程</t>
        </is>
      </c>
      <c r="C28" t="inlineStr">
        <is>
          <t>模板</t>
        </is>
      </c>
      <c r="D28" t="inlineStr">
        <is>
          <t>内容运营</t>
        </is>
      </c>
      <c r="E28" t="inlineStr">
        <is>
          <t>覆盖创意收集、选题、素材、创作、分发与复盘。</t>
        </is>
      </c>
      <c r="F28" t="inlineStr">
        <is>
          <t>内容制作全流程用于覆盖创意收集、选题、素材、创作、分发与复盘，可作为相关最佳实践的实现资产。</t>
        </is>
      </c>
      <c r="G28" t="inlineStr">
        <is>
          <t>内容策划｜素材沉淀｜分发复盘</t>
        </is>
      </c>
      <c r="H28" t="inlineStr">
        <is>
          <t>互联网｜汽车｜制造｜零售</t>
        </is>
      </c>
      <c r="I28" t="inlineStr">
        <is>
          <t>项目经理｜产品经理｜运营｜高管</t>
        </is>
      </c>
      <c r="L28" t="inlineStr">
        <is>
          <t>飞书项目（模拟）</t>
        </is>
      </c>
      <c r="Q28" t="inlineStr">
        <is>
          <t>https://project.feishu.cn/home/developers</t>
        </is>
      </c>
      <c r="R28" t="inlineStr">
        <is>
          <t>是</t>
        </is>
      </c>
      <c r="S28" t="n">
        <v>3</v>
      </c>
      <c r="T28" t="inlineStr">
        <is>
          <t>草稿</t>
        </is>
      </c>
      <c r="U28" t="inlineStr">
        <is>
          <t>名称与核心描述来自飞书项目开放平台官网；图片、详情和目标链接仍需补充或复核。</t>
        </is>
      </c>
    </row>
    <row r="29" ht="51" customHeight="1">
      <c r="A29" t="inlineStr">
        <is>
          <t>T004</t>
        </is>
      </c>
      <c r="B29" t="inlineStr">
        <is>
          <t>软件交付项目模板</t>
        </is>
      </c>
      <c r="C29" t="inlineStr">
        <is>
          <t>模板</t>
        </is>
      </c>
      <c r="D29" t="inlineStr">
        <is>
          <t>项目交付</t>
        </is>
      </c>
      <c r="E29" t="inlineStr">
        <is>
          <t>管理交付计划、风险、验收与上线。</t>
        </is>
      </c>
      <c r="F29" t="inlineStr">
        <is>
          <t>软件交付项目模板用于管理交付计划、风险、验收与上线，可作为相关最佳实践的实现资产。</t>
        </is>
      </c>
      <c r="G29" t="inlineStr">
        <is>
          <t>计划管理｜风险跟踪｜交付验收</t>
        </is>
      </c>
      <c r="H29" t="inlineStr">
        <is>
          <t>互联网｜汽车｜制造｜零售</t>
        </is>
      </c>
      <c r="I29" t="inlineStr">
        <is>
          <t>项目经理｜产品经理｜运营｜高管</t>
        </is>
      </c>
      <c r="L29" t="inlineStr">
        <is>
          <t>飞书项目（模拟）</t>
        </is>
      </c>
      <c r="R29" t="inlineStr">
        <is>
          <t>是</t>
        </is>
      </c>
      <c r="S29" t="n">
        <v>4</v>
      </c>
      <c r="T29" t="inlineStr">
        <is>
          <t>模拟待校准</t>
        </is>
      </c>
      <c r="U29" t="inlineStr">
        <is>
          <t>演示命名与描述；上线前请替换为真实产品名称、截图、链接和官方说明。</t>
        </is>
      </c>
    </row>
    <row r="30" ht="51" customHeight="1">
      <c r="A30" t="inlineStr">
        <is>
          <t>T005</t>
        </is>
      </c>
      <c r="B30" t="inlineStr">
        <is>
          <t>版本发布管理模板</t>
        </is>
      </c>
      <c r="C30" t="inlineStr">
        <is>
          <t>模板</t>
        </is>
      </c>
      <c r="D30" t="inlineStr">
        <is>
          <t>发布管理</t>
        </is>
      </c>
      <c r="E30" t="inlineStr">
        <is>
          <t>协调多端版本、变更、检查与发布。</t>
        </is>
      </c>
      <c r="F30" t="inlineStr">
        <is>
          <t>版本发布管理模板用于协调多端版本、变更、检查与发布，可作为相关最佳实践的实现资产。</t>
        </is>
      </c>
      <c r="G30" t="inlineStr">
        <is>
          <t>版本计划｜发布门禁｜变更记录</t>
        </is>
      </c>
      <c r="H30" t="inlineStr">
        <is>
          <t>互联网｜汽车｜制造｜零售</t>
        </is>
      </c>
      <c r="I30" t="inlineStr">
        <is>
          <t>项目经理｜产品经理｜运营｜高管</t>
        </is>
      </c>
      <c r="L30" t="inlineStr">
        <is>
          <t>飞书项目（模拟）</t>
        </is>
      </c>
      <c r="R30" t="inlineStr">
        <is>
          <t>是</t>
        </is>
      </c>
      <c r="S30" t="n">
        <v>5</v>
      </c>
      <c r="T30" t="inlineStr">
        <is>
          <t>模拟待校准</t>
        </is>
      </c>
      <c r="U30" t="inlineStr">
        <is>
          <t>演示命名与描述；上线前请替换为真实产品名称、截图、链接和官方说明。</t>
        </is>
      </c>
    </row>
    <row r="31" ht="51" customHeight="1">
      <c r="A31" t="inlineStr">
        <is>
          <t>T006</t>
        </is>
      </c>
      <c r="B31" t="inlineStr">
        <is>
          <t>测试全流程模板</t>
        </is>
      </c>
      <c r="C31" t="inlineStr">
        <is>
          <t>模板</t>
        </is>
      </c>
      <c r="D31" t="inlineStr">
        <is>
          <t>质量管理</t>
        </is>
      </c>
      <c r="E31" t="inlineStr">
        <is>
          <t>组织测试计划、用例执行和缺陷闭环。</t>
        </is>
      </c>
      <c r="F31" t="inlineStr">
        <is>
          <t>测试全流程模板用于组织测试计划、用例执行和缺陷闭环，可作为相关最佳实践的实现资产。</t>
        </is>
      </c>
      <c r="G31" t="inlineStr">
        <is>
          <t>测试计划｜用例执行｜缺陷管理</t>
        </is>
      </c>
      <c r="H31" t="inlineStr">
        <is>
          <t>互联网｜汽车｜制造｜零售</t>
        </is>
      </c>
      <c r="I31" t="inlineStr">
        <is>
          <t>项目经理｜产品经理｜运营｜高管</t>
        </is>
      </c>
      <c r="L31" t="inlineStr">
        <is>
          <t>飞书项目（模拟）</t>
        </is>
      </c>
      <c r="R31" t="inlineStr">
        <is>
          <t>是</t>
        </is>
      </c>
      <c r="S31" t="n">
        <v>6</v>
      </c>
      <c r="T31" t="inlineStr">
        <is>
          <t>模拟待校准</t>
        </is>
      </c>
      <c r="U31" t="inlineStr">
        <is>
          <t>演示命名与描述；上线前请替换为真实产品名称、截图、链接和官方说明。</t>
        </is>
      </c>
    </row>
    <row r="32" ht="51" customHeight="1">
      <c r="A32" t="inlineStr">
        <is>
          <t>T007</t>
        </is>
      </c>
      <c r="B32" t="inlineStr">
        <is>
          <t>市场活动项目模板</t>
        </is>
      </c>
      <c r="C32" t="inlineStr">
        <is>
          <t>模板</t>
        </is>
      </c>
      <c r="D32" t="inlineStr">
        <is>
          <t>营销运营</t>
        </is>
      </c>
      <c r="E32" t="inlineStr">
        <is>
          <t>管理活动策划、素材、执行与复盘。</t>
        </is>
      </c>
      <c r="F32" t="inlineStr">
        <is>
          <t>市场活动项目模板用于管理活动策划、素材、执行与复盘，可作为相关最佳实践的实现资产。</t>
        </is>
      </c>
      <c r="G32" t="inlineStr">
        <is>
          <t>活动计划｜素材协作｜效果复盘</t>
        </is>
      </c>
      <c r="H32" t="inlineStr">
        <is>
          <t>互联网｜汽车｜制造｜零售</t>
        </is>
      </c>
      <c r="I32" t="inlineStr">
        <is>
          <t>项目经理｜产品经理｜运营｜高管</t>
        </is>
      </c>
      <c r="L32" t="inlineStr">
        <is>
          <t>飞书项目（模拟）</t>
        </is>
      </c>
      <c r="R32" t="inlineStr">
        <is>
          <t>是</t>
        </is>
      </c>
      <c r="S32" t="n">
        <v>7</v>
      </c>
      <c r="T32" t="inlineStr">
        <is>
          <t>模拟待校准</t>
        </is>
      </c>
      <c r="U32" t="inlineStr">
        <is>
          <t>演示命名与描述；上线前请替换为真实产品名称、截图、链接和官方说明。</t>
        </is>
      </c>
    </row>
    <row r="33" ht="51" customHeight="1">
      <c r="A33" t="inlineStr">
        <is>
          <t>T008</t>
        </is>
      </c>
      <c r="B33" t="inlineStr">
        <is>
          <t>内容生产流程模板</t>
        </is>
      </c>
      <c r="C33" t="inlineStr">
        <is>
          <t>模板</t>
        </is>
      </c>
      <c r="D33" t="inlineStr">
        <is>
          <t>内容运营</t>
        </is>
      </c>
      <c r="E33" t="inlineStr">
        <is>
          <t>管理选题、脚本、制作、发布和数据复盘。</t>
        </is>
      </c>
      <c r="F33" t="inlineStr">
        <is>
          <t>内容生产流程模板用于管理选题、脚本、制作、发布和数据复盘，可作为相关最佳实践的实现资产。</t>
        </is>
      </c>
      <c r="G33" t="inlineStr">
        <is>
          <t>内容策划｜制作协同｜发布复盘</t>
        </is>
      </c>
      <c r="H33" t="inlineStr">
        <is>
          <t>互联网｜汽车｜制造｜零售</t>
        </is>
      </c>
      <c r="I33" t="inlineStr">
        <is>
          <t>项目经理｜产品经理｜运营｜高管</t>
        </is>
      </c>
      <c r="L33" t="inlineStr">
        <is>
          <t>飞书项目（模拟）</t>
        </is>
      </c>
      <c r="R33" t="inlineStr">
        <is>
          <t>是</t>
        </is>
      </c>
      <c r="S33" t="n">
        <v>8</v>
      </c>
      <c r="T33" t="inlineStr">
        <is>
          <t>模拟待校准</t>
        </is>
      </c>
      <c r="U33" t="inlineStr">
        <is>
          <t>演示命名与描述；上线前请替换为真实产品名称、截图、链接和官方说明。</t>
        </is>
      </c>
    </row>
    <row r="34" ht="51" customHeight="1">
      <c r="A34" t="inlineStr">
        <is>
          <t>T009</t>
        </is>
      </c>
      <c r="B34" t="inlineStr">
        <is>
          <t>门店开业项目模板</t>
        </is>
      </c>
      <c r="C34" t="inlineStr">
        <is>
          <t>模板</t>
        </is>
      </c>
      <c r="D34" t="inlineStr">
        <is>
          <t>零售运营</t>
        </is>
      </c>
      <c r="E34" t="inlineStr">
        <is>
          <t>管理选址、筹备、验收和开业节点。</t>
        </is>
      </c>
      <c r="F34" t="inlineStr">
        <is>
          <t>门店开业项目模板用于管理选址、筹备、验收和开业节点，可作为相关最佳实践的实现资产。</t>
        </is>
      </c>
      <c r="G34" t="inlineStr">
        <is>
          <t>筹备计划｜节点验收｜问题闭环</t>
        </is>
      </c>
      <c r="H34" t="inlineStr">
        <is>
          <t>互联网｜汽车｜制造｜零售</t>
        </is>
      </c>
      <c r="I34" t="inlineStr">
        <is>
          <t>项目经理｜产品经理｜运营｜高管</t>
        </is>
      </c>
      <c r="L34" t="inlineStr">
        <is>
          <t>飞书项目（模拟）</t>
        </is>
      </c>
      <c r="R34" t="inlineStr">
        <is>
          <t>是</t>
        </is>
      </c>
      <c r="S34" t="n">
        <v>9</v>
      </c>
      <c r="T34" t="inlineStr">
        <is>
          <t>模拟待校准</t>
        </is>
      </c>
      <c r="U34" t="inlineStr">
        <is>
          <t>演示命名与描述；上线前请替换为真实产品名称、截图、链接和官方说明。</t>
        </is>
      </c>
    </row>
    <row r="35" ht="51" customHeight="1">
      <c r="A35" t="inlineStr">
        <is>
          <t>T010</t>
        </is>
      </c>
      <c r="B35" t="inlineStr">
        <is>
          <t>合同履约管理模板</t>
        </is>
      </c>
      <c r="C35" t="inlineStr">
        <is>
          <t>模板</t>
        </is>
      </c>
      <c r="D35" t="inlineStr">
        <is>
          <t>合同管理</t>
        </is>
      </c>
      <c r="E35" t="inlineStr">
        <is>
          <t>连接合同条款、交付计划与验收回款。</t>
        </is>
      </c>
      <c r="F35" t="inlineStr">
        <is>
          <t>合同履约管理模板用于连接合同条款、交付计划与验收回款，可作为相关最佳实践的实现资产。</t>
        </is>
      </c>
      <c r="G35" t="inlineStr">
        <is>
          <t>条款记录｜履约计划｜验收回款</t>
        </is>
      </c>
      <c r="H35" t="inlineStr">
        <is>
          <t>互联网｜汽车｜制造｜零售</t>
        </is>
      </c>
      <c r="I35" t="inlineStr">
        <is>
          <t>项目经理｜产品经理｜运营｜高管</t>
        </is>
      </c>
      <c r="L35" t="inlineStr">
        <is>
          <t>飞书项目（模拟）</t>
        </is>
      </c>
      <c r="R35" t="inlineStr">
        <is>
          <t>是</t>
        </is>
      </c>
      <c r="S35" t="n">
        <v>10</v>
      </c>
      <c r="T35" t="inlineStr">
        <is>
          <t>模拟待校准</t>
        </is>
      </c>
      <c r="U35" t="inlineStr">
        <is>
          <t>演示命名与描述；上线前请替换为真实产品名称、截图、链接和官方说明。</t>
        </is>
      </c>
    </row>
    <row r="36" ht="51" customHeight="1">
      <c r="A36" t="inlineStr">
        <is>
          <t>T011</t>
        </is>
      </c>
      <c r="B36" t="inlineStr">
        <is>
          <t>战略执行管理模板</t>
        </is>
      </c>
      <c r="C36" t="inlineStr">
        <is>
          <t>模板</t>
        </is>
      </c>
      <c r="D36" t="inlineStr">
        <is>
          <t>战略管理</t>
        </is>
      </c>
      <c r="E36" t="inlineStr">
        <is>
          <t>连接目标、项目集、项目与执行任务。</t>
        </is>
      </c>
      <c r="F36" t="inlineStr">
        <is>
          <t>战略执行管理模板用于连接目标、项目集、项目与执行任务，可作为相关最佳实践的实现资产。</t>
        </is>
      </c>
      <c r="G36" t="inlineStr">
        <is>
          <t>目标分解｜项目组合｜执行跟踪</t>
        </is>
      </c>
      <c r="H36" t="inlineStr">
        <is>
          <t>互联网｜汽车｜制造｜零售</t>
        </is>
      </c>
      <c r="I36" t="inlineStr">
        <is>
          <t>项目经理｜产品经理｜运营｜高管</t>
        </is>
      </c>
      <c r="L36" t="inlineStr">
        <is>
          <t>飞书项目（模拟）</t>
        </is>
      </c>
      <c r="R36" t="inlineStr">
        <is>
          <t>是</t>
        </is>
      </c>
      <c r="S36" t="n">
        <v>11</v>
      </c>
      <c r="T36" t="inlineStr">
        <is>
          <t>模拟待校准</t>
        </is>
      </c>
      <c r="U36" t="inlineStr">
        <is>
          <t>演示命名与描述；上线前请替换为真实产品名称、截图、链接和官方说明。</t>
        </is>
      </c>
    </row>
    <row r="37" ht="51" customHeight="1">
      <c r="A37" t="inlineStr">
        <is>
          <t>T012</t>
        </is>
      </c>
      <c r="B37" t="inlineStr">
        <is>
          <t>供应商项目模板</t>
        </is>
      </c>
      <c r="C37" t="inlineStr">
        <is>
          <t>模板</t>
        </is>
      </c>
      <c r="D37" t="inlineStr">
        <is>
          <t>供应链管理</t>
        </is>
      </c>
      <c r="E37" t="inlineStr">
        <is>
          <t>管理供应商准入、交付、质量与改进。</t>
        </is>
      </c>
      <c r="F37" t="inlineStr">
        <is>
          <t>供应商项目模板用于管理供应商准入、交付、质量与改进，可作为相关最佳实践的实现资产。</t>
        </is>
      </c>
      <c r="G37" t="inlineStr">
        <is>
          <t>供应商准入｜交付跟踪｜质量改进</t>
        </is>
      </c>
      <c r="H37" t="inlineStr">
        <is>
          <t>互联网｜汽车｜制造｜零售</t>
        </is>
      </c>
      <c r="I37" t="inlineStr">
        <is>
          <t>项目经理｜产品经理｜运营｜高管</t>
        </is>
      </c>
      <c r="L37" t="inlineStr">
        <is>
          <t>飞书项目（模拟）</t>
        </is>
      </c>
      <c r="R37" t="inlineStr">
        <is>
          <t>是</t>
        </is>
      </c>
      <c r="S37" t="n">
        <v>12</v>
      </c>
      <c r="T37" t="inlineStr">
        <is>
          <t>模拟待校准</t>
        </is>
      </c>
      <c r="U37" t="inlineStr">
        <is>
          <t>演示命名与描述；上线前请替换为真实产品名称、截图、链接和官方说明。</t>
        </is>
      </c>
    </row>
    <row r="38" ht="51" customHeight="1">
      <c r="A38" t="inlineStr">
        <is>
          <t>O001</t>
        </is>
      </c>
      <c r="B38" t="inlineStr">
        <is>
          <t>规模化敏捷</t>
        </is>
      </c>
      <c r="C38" t="inlineStr">
        <is>
          <t>解决方案</t>
        </is>
      </c>
      <c r="D38" t="inlineStr">
        <is>
          <t>敏捷研发</t>
        </is>
      </c>
      <c r="E38" t="inlineStr">
        <is>
          <t>基于 SAFe 框架支持 PI Planning 全流程管理。</t>
        </is>
      </c>
      <c r="F38" t="inlineStr">
        <is>
          <t>规模化敏捷用于基于 SAFe 框架支持 PI Planning 全流程管理，可作为相关最佳实践的实现资产。</t>
        </is>
      </c>
      <c r="G38" t="inlineStr">
        <is>
          <t>ART 看板｜团队看板｜依赖报告</t>
        </is>
      </c>
      <c r="H38" t="inlineStr">
        <is>
          <t>汽车｜制造｜金融｜互联网</t>
        </is>
      </c>
      <c r="I38" t="inlineStr">
        <is>
          <t>高管｜项目经理｜研发</t>
        </is>
      </c>
      <c r="L38" t="inlineStr">
        <is>
          <t>飞书项目（模拟）</t>
        </is>
      </c>
      <c r="Q38" t="inlineStr">
        <is>
          <t>https://project.feishu.cn/home/developers</t>
        </is>
      </c>
      <c r="R38" t="inlineStr">
        <is>
          <t>是</t>
        </is>
      </c>
      <c r="S38" t="n">
        <v>1</v>
      </c>
      <c r="T38" t="inlineStr">
        <is>
          <t>草稿</t>
        </is>
      </c>
      <c r="U38" t="inlineStr">
        <is>
          <t>名称与核心描述来自飞书项目开放平台官网；图片、详情和目标链接仍需补充或复核。</t>
        </is>
      </c>
    </row>
    <row r="39" ht="68" customHeight="1">
      <c r="A39" t="inlineStr">
        <is>
          <t>O002</t>
        </is>
      </c>
      <c r="B39" t="inlineStr">
        <is>
          <t>翼云销LTC解决方案</t>
        </is>
      </c>
      <c r="C39" t="inlineStr">
        <is>
          <t>解决方案</t>
        </is>
      </c>
      <c r="D39" t="inlineStr">
        <is>
          <t>LTC管理</t>
        </is>
      </c>
      <c r="E39" t="inlineStr">
        <is>
          <t>以 AI 为核心打通线索、商机、签约、交付到回款全流程。</t>
        </is>
      </c>
      <c r="F39" t="inlineStr">
        <is>
          <t>翼云销LTC解决方案用于以 AI 为核心打通线索、商机、签约、交付到回款全流程，可作为相关最佳实践的实现资产。</t>
        </is>
      </c>
      <c r="G39" t="inlineStr">
        <is>
          <t>客户录入｜方案推荐｜风险预警</t>
        </is>
      </c>
      <c r="H39" t="inlineStr">
        <is>
          <t>汽车｜制造｜金融｜互联网</t>
        </is>
      </c>
      <c r="I39" t="inlineStr">
        <is>
          <t>高管｜项目经理｜研发</t>
        </is>
      </c>
      <c r="L39" t="inlineStr">
        <is>
          <t>飞书项目（模拟）</t>
        </is>
      </c>
      <c r="Q39" t="inlineStr">
        <is>
          <t>https://project.feishu.cn/home/developers</t>
        </is>
      </c>
      <c r="R39" t="inlineStr">
        <is>
          <t>是</t>
        </is>
      </c>
      <c r="S39" t="n">
        <v>2</v>
      </c>
      <c r="T39" t="inlineStr">
        <is>
          <t>草稿</t>
        </is>
      </c>
      <c r="U39" t="inlineStr">
        <is>
          <t>名称与核心描述来自飞书项目开放平台官网；图片、详情和目标链接仍需补充或复核。</t>
        </is>
      </c>
    </row>
    <row r="40" ht="68" customHeight="1">
      <c r="A40" t="inlineStr">
        <is>
          <t>O003</t>
        </is>
      </c>
      <c r="B40" t="inlineStr">
        <is>
          <t>Zadig DevOps 一体化解决方案</t>
        </is>
      </c>
      <c r="C40" t="inlineStr">
        <is>
          <t>解决方案</t>
        </is>
      </c>
      <c r="D40" t="inlineStr">
        <is>
          <t>DevOps</t>
        </is>
      </c>
      <c r="E40" t="inlineStr">
        <is>
          <t>打通需求、开发、自测、测试到生产发布全流程。</t>
        </is>
      </c>
      <c r="F40" t="inlineStr">
        <is>
          <t>Zadig DevOps 一体化解决方案用于打通需求、开发、自测、测试到生产发布全流程，可作为相关最佳实践的实现资产。</t>
        </is>
      </c>
      <c r="G40" t="inlineStr">
        <is>
          <t>构建部署｜测试审批｜状态同步</t>
        </is>
      </c>
      <c r="H40" t="inlineStr">
        <is>
          <t>汽车｜制造｜金融｜互联网</t>
        </is>
      </c>
      <c r="I40" t="inlineStr">
        <is>
          <t>高管｜项目经理｜研发</t>
        </is>
      </c>
      <c r="L40" t="inlineStr">
        <is>
          <t>飞书项目（模拟）</t>
        </is>
      </c>
      <c r="Q40" t="inlineStr">
        <is>
          <t>https://project.feishu.cn/home/developers</t>
        </is>
      </c>
      <c r="R40" t="inlineStr">
        <is>
          <t>是</t>
        </is>
      </c>
      <c r="S40" t="n">
        <v>3</v>
      </c>
      <c r="T40" t="inlineStr">
        <is>
          <t>草稿</t>
        </is>
      </c>
      <c r="U40" t="inlineStr">
        <is>
          <t>名称与核心描述来自飞书项目开放平台官网；图片、详情和目标链接仍需补充或复核。</t>
        </is>
      </c>
    </row>
    <row r="41" ht="68" customHeight="1">
      <c r="A41" t="inlineStr">
        <is>
          <t>O004</t>
        </is>
      </c>
      <c r="B41" t="inlineStr">
        <is>
          <t>ASPICE 汽车软件研发方案</t>
        </is>
      </c>
      <c r="C41" t="inlineStr">
        <is>
          <t>解决方案</t>
        </is>
      </c>
      <c r="D41" t="inlineStr">
        <is>
          <t>汽车研发</t>
        </is>
      </c>
      <c r="E41" t="inlineStr">
        <is>
          <t>连接项目、知识库与云文档，支撑汽车软件 V 模型和认证。</t>
        </is>
      </c>
      <c r="F41" t="inlineStr">
        <is>
          <t>ASPICE 汽车软件研发方案用于连接项目、知识库与云文档，支撑汽车软件 V 模型和认证，可作为相关最佳实践的实现资产。</t>
        </is>
      </c>
      <c r="G41" t="inlineStr">
        <is>
          <t>需求条目化｜版本管理｜V 模型</t>
        </is>
      </c>
      <c r="H41" t="inlineStr">
        <is>
          <t>汽车｜制造｜金融｜互联网</t>
        </is>
      </c>
      <c r="I41" t="inlineStr">
        <is>
          <t>高管｜项目经理｜研发</t>
        </is>
      </c>
      <c r="L41" t="inlineStr">
        <is>
          <t>飞书项目（模拟）</t>
        </is>
      </c>
      <c r="Q41" t="inlineStr">
        <is>
          <t>https://project.feishu.cn/home/developers</t>
        </is>
      </c>
      <c r="R41" t="inlineStr">
        <is>
          <t>是</t>
        </is>
      </c>
      <c r="S41" t="n">
        <v>4</v>
      </c>
      <c r="T41" t="inlineStr">
        <is>
          <t>草稿</t>
        </is>
      </c>
      <c r="U41" t="inlineStr">
        <is>
          <t>名称与核心描述来自飞书项目开放平台官网；图片、详情和目标链接仍需补充或复核。</t>
        </is>
      </c>
    </row>
    <row r="42" ht="51" customHeight="1">
      <c r="A42" t="inlineStr">
        <is>
          <t>O005</t>
        </is>
      </c>
      <c r="B42" t="inlineStr">
        <is>
          <t>制造业项目协同解决方案</t>
        </is>
      </c>
      <c r="C42" t="inlineStr">
        <is>
          <t>解决方案</t>
        </is>
      </c>
      <c r="D42" t="inlineStr">
        <is>
          <t>制造行业</t>
        </is>
      </c>
      <c r="E42" t="inlineStr">
        <is>
          <t>管理研发、供应链、质量和交付协同。</t>
        </is>
      </c>
      <c r="F42" t="inlineStr">
        <is>
          <t>制造业项目协同解决方案用于管理研发、供应链、质量和交付协同，可作为相关最佳实践的实现资产。</t>
        </is>
      </c>
      <c r="G42" t="inlineStr">
        <is>
          <t>研发协同｜供应链风险｜质量追踪</t>
        </is>
      </c>
      <c r="H42" t="inlineStr">
        <is>
          <t>汽车｜制造｜金融｜互联网</t>
        </is>
      </c>
      <c r="I42" t="inlineStr">
        <is>
          <t>高管｜项目经理｜研发</t>
        </is>
      </c>
      <c r="L42" t="inlineStr">
        <is>
          <t>飞书项目（模拟）</t>
        </is>
      </c>
      <c r="R42" t="inlineStr">
        <is>
          <t>是</t>
        </is>
      </c>
      <c r="S42" t="n">
        <v>5</v>
      </c>
      <c r="T42" t="inlineStr">
        <is>
          <t>模拟待校准</t>
        </is>
      </c>
      <c r="U42" t="inlineStr">
        <is>
          <t>演示命名与描述；上线前请替换为真实产品名称、截图、链接和官方说明。</t>
        </is>
      </c>
    </row>
    <row r="43" ht="51" customHeight="1">
      <c r="A43" t="inlineStr">
        <is>
          <t>O006</t>
        </is>
      </c>
      <c r="B43" t="inlineStr">
        <is>
          <t>金融科技项目治理方案</t>
        </is>
      </c>
      <c r="C43" t="inlineStr">
        <is>
          <t>解决方案</t>
        </is>
      </c>
      <c r="D43" t="inlineStr">
        <is>
          <t>金融行业</t>
        </is>
      </c>
      <c r="E43" t="inlineStr">
        <is>
          <t>加强需求、合规、研发和发布治理。</t>
        </is>
      </c>
      <c r="F43" t="inlineStr">
        <is>
          <t>金融科技项目治理方案用于加强需求、合规、研发和发布治理，可作为相关最佳实践的实现资产。</t>
        </is>
      </c>
      <c r="G43" t="inlineStr">
        <is>
          <t>需求治理｜合规检查｜发布审计</t>
        </is>
      </c>
      <c r="H43" t="inlineStr">
        <is>
          <t>汽车｜制造｜金融｜互联网</t>
        </is>
      </c>
      <c r="I43" t="inlineStr">
        <is>
          <t>高管｜项目经理｜研发</t>
        </is>
      </c>
      <c r="L43" t="inlineStr">
        <is>
          <t>飞书项目（模拟）</t>
        </is>
      </c>
      <c r="R43" t="inlineStr">
        <is>
          <t>是</t>
        </is>
      </c>
      <c r="S43" t="n">
        <v>6</v>
      </c>
      <c r="T43" t="inlineStr">
        <is>
          <t>模拟待校准</t>
        </is>
      </c>
      <c r="U43" t="inlineStr">
        <is>
          <t>演示命名与描述；上线前请替换为真实产品名称、截图、链接和官方说明。</t>
        </is>
      </c>
    </row>
    <row r="44" ht="51" customHeight="1">
      <c r="A44" t="inlineStr">
        <is>
          <t>L001</t>
        </is>
      </c>
      <c r="B44" t="inlineStr">
        <is>
          <t>项目管理驾驶舱</t>
        </is>
      </c>
      <c r="C44" t="inlineStr">
        <is>
          <t>轻应用</t>
        </is>
      </c>
      <c r="D44" t="inlineStr">
        <is>
          <t>管理驾驶舱</t>
        </is>
      </c>
      <c r="E44" t="inlineStr">
        <is>
          <t>聚合关键项目指标与风险。</t>
        </is>
      </c>
      <c r="F44" t="inlineStr">
        <is>
          <t>项目管理驾驶舱用于聚合关键项目指标与风险，可作为相关最佳实践的实现资产。</t>
        </is>
      </c>
      <c r="G44" t="inlineStr">
        <is>
          <t>指标卡｜趋势图｜风险列表</t>
        </is>
      </c>
      <c r="H44" t="inlineStr">
        <is>
          <t>互联网｜汽车｜制造｜医疗</t>
        </is>
      </c>
      <c r="I44" t="inlineStr">
        <is>
          <t>高管｜项目经理｜运营</t>
        </is>
      </c>
      <c r="L44" t="inlineStr">
        <is>
          <t>飞书项目（模拟）</t>
        </is>
      </c>
      <c r="R44" t="inlineStr">
        <is>
          <t>否</t>
        </is>
      </c>
      <c r="S44" t="n">
        <v>1</v>
      </c>
      <c r="T44" t="inlineStr">
        <is>
          <t>模拟待校准</t>
        </is>
      </c>
      <c r="U44" t="inlineStr">
        <is>
          <t>演示命名与描述；上线前请替换为真实产品名称、截图、链接和官方说明。</t>
        </is>
      </c>
    </row>
    <row r="45" ht="51" customHeight="1">
      <c r="A45" t="inlineStr">
        <is>
          <t>L002</t>
        </is>
      </c>
      <c r="B45" t="inlineStr">
        <is>
          <t>会议联动汇报台</t>
        </is>
      </c>
      <c r="C45" t="inlineStr">
        <is>
          <t>轻应用</t>
        </is>
      </c>
      <c r="D45" t="inlineStr">
        <is>
          <t>会议协同</t>
        </is>
      </c>
      <c r="E45" t="inlineStr">
        <is>
          <t>连接议题、项目数据和会后决议。</t>
        </is>
      </c>
      <c r="F45" t="inlineStr">
        <is>
          <t>会议联动汇报台用于连接议题、项目数据和会后决议，可作为相关最佳实践的实现资产。</t>
        </is>
      </c>
      <c r="G45" t="inlineStr">
        <is>
          <t>会前材料｜会中展示｜会后跟踪</t>
        </is>
      </c>
      <c r="H45" t="inlineStr">
        <is>
          <t>互联网｜汽车｜制造｜医疗</t>
        </is>
      </c>
      <c r="I45" t="inlineStr">
        <is>
          <t>高管｜项目经理｜运营</t>
        </is>
      </c>
      <c r="L45" t="inlineStr">
        <is>
          <t>飞书项目（模拟）</t>
        </is>
      </c>
      <c r="R45" t="inlineStr">
        <is>
          <t>否</t>
        </is>
      </c>
      <c r="S45" t="n">
        <v>2</v>
      </c>
      <c r="T45" t="inlineStr">
        <is>
          <t>模拟待校准</t>
        </is>
      </c>
      <c r="U45" t="inlineStr">
        <is>
          <t>演示命名与描述；上线前请替换为真实产品名称、截图、链接和官方说明。</t>
        </is>
      </c>
    </row>
    <row r="46" ht="51" customHeight="1">
      <c r="A46" t="inlineStr">
        <is>
          <t>L003</t>
        </is>
      </c>
      <c r="B46" t="inlineStr">
        <is>
          <t>个人项目工作台</t>
        </is>
      </c>
      <c r="C46" t="inlineStr">
        <is>
          <t>轻应用</t>
        </is>
      </c>
      <c r="D46" t="inlineStr">
        <is>
          <t>个人效率</t>
        </is>
      </c>
      <c r="E46" t="inlineStr">
        <is>
          <t>聚合个人任务、风险和待处理事项。</t>
        </is>
      </c>
      <c r="F46" t="inlineStr">
        <is>
          <t>个人项目工作台用于聚合个人任务、风险和待处理事项，可作为相关最佳实践的实现资产。</t>
        </is>
      </c>
      <c r="G46" t="inlineStr">
        <is>
          <t>个人任务｜优先级｜快捷操作</t>
        </is>
      </c>
      <c r="H46" t="inlineStr">
        <is>
          <t>互联网｜汽车｜制造｜医疗</t>
        </is>
      </c>
      <c r="I46" t="inlineStr">
        <is>
          <t>高管｜项目经理｜运营</t>
        </is>
      </c>
      <c r="L46" t="inlineStr">
        <is>
          <t>飞书项目（模拟）</t>
        </is>
      </c>
      <c r="R46" t="inlineStr">
        <is>
          <t>否</t>
        </is>
      </c>
      <c r="S46" t="n">
        <v>3</v>
      </c>
      <c r="T46" t="inlineStr">
        <is>
          <t>模拟待校准</t>
        </is>
      </c>
      <c r="U46" t="inlineStr">
        <is>
          <t>演示命名与描述；上线前请替换为真实产品名称、截图、链接和官方说明。</t>
        </is>
      </c>
    </row>
    <row r="47" ht="51" customHeight="1">
      <c r="A47" t="inlineStr">
        <is>
          <t>L004</t>
        </is>
      </c>
      <c r="B47" t="inlineStr">
        <is>
          <t>多角色项目门户</t>
        </is>
      </c>
      <c r="C47" t="inlineStr">
        <is>
          <t>轻应用</t>
        </is>
      </c>
      <c r="D47" t="inlineStr">
        <is>
          <t>空间门户</t>
        </is>
      </c>
      <c r="E47" t="inlineStr">
        <is>
          <t>按角色提供不同项目视图与入口。</t>
        </is>
      </c>
      <c r="F47" t="inlineStr">
        <is>
          <t>多角色项目门户用于按角色提供不同项目视图与入口，可作为相关最佳实践的实现资产。</t>
        </is>
      </c>
      <c r="G47" t="inlineStr">
        <is>
          <t>角色视图｜空间导航｜权限适配</t>
        </is>
      </c>
      <c r="H47" t="inlineStr">
        <is>
          <t>互联网｜汽车｜制造｜医疗</t>
        </is>
      </c>
      <c r="I47" t="inlineStr">
        <is>
          <t>高管｜项目经理｜运营</t>
        </is>
      </c>
      <c r="L47" t="inlineStr">
        <is>
          <t>飞书项目（模拟）</t>
        </is>
      </c>
      <c r="R47" t="inlineStr">
        <is>
          <t>否</t>
        </is>
      </c>
      <c r="S47" t="n">
        <v>4</v>
      </c>
      <c r="T47" t="inlineStr">
        <is>
          <t>模拟待校准</t>
        </is>
      </c>
      <c r="U47" t="inlineStr">
        <is>
          <t>演示命名与描述；上线前请替换为真实产品名称、截图、链接和官方说明。</t>
        </is>
      </c>
    </row>
    <row r="48" ht="51" customHeight="1">
      <c r="A48" t="inlineStr">
        <is>
          <t>L005</t>
        </is>
      </c>
      <c r="B48" t="inlineStr">
        <is>
          <t>周期数据报告台</t>
        </is>
      </c>
      <c r="C48" t="inlineStr">
        <is>
          <t>轻应用</t>
        </is>
      </c>
      <c r="D48" t="inlineStr">
        <is>
          <t>数据报告</t>
        </is>
      </c>
      <c r="E48" t="inlineStr">
        <is>
          <t>按周期生成并展示项目数据报告。</t>
        </is>
      </c>
      <c r="F48" t="inlineStr">
        <is>
          <t>周期数据报告台用于按周期生成并展示项目数据报告，可作为相关最佳实践的实现资产。</t>
        </is>
      </c>
      <c r="G48" t="inlineStr">
        <is>
          <t>周期汇总｜图表展示｜报告归档</t>
        </is>
      </c>
      <c r="H48" t="inlineStr">
        <is>
          <t>互联网｜汽车｜制造｜医疗</t>
        </is>
      </c>
      <c r="I48" t="inlineStr">
        <is>
          <t>高管｜项目经理｜运营</t>
        </is>
      </c>
      <c r="L48" t="inlineStr">
        <is>
          <t>飞书项目（模拟）</t>
        </is>
      </c>
      <c r="R48" t="inlineStr">
        <is>
          <t>否</t>
        </is>
      </c>
      <c r="S48" t="n">
        <v>5</v>
      </c>
      <c r="T48" t="inlineStr">
        <is>
          <t>模拟待校准</t>
        </is>
      </c>
      <c r="U48" t="inlineStr">
        <is>
          <t>演示命名与描述；上线前请替换为真实产品名称、截图、链接和官方说明。</t>
        </is>
      </c>
    </row>
    <row r="49" ht="51" customHeight="1">
      <c r="A49" t="inlineStr">
        <is>
          <t>L006</t>
        </is>
      </c>
      <c r="B49" t="inlineStr">
        <is>
          <t>版本发布指挥台</t>
        </is>
      </c>
      <c r="C49" t="inlineStr">
        <is>
          <t>轻应用</t>
        </is>
      </c>
      <c r="D49" t="inlineStr">
        <is>
          <t>发布协同</t>
        </is>
      </c>
      <c r="E49" t="inlineStr">
        <is>
          <t>集中展示发布状态、风险和关键操作。</t>
        </is>
      </c>
      <c r="F49" t="inlineStr">
        <is>
          <t>版本发布指挥台用于集中展示发布状态、风险和关键操作，可作为相关最佳实践的实现资产。</t>
        </is>
      </c>
      <c r="G49" t="inlineStr">
        <is>
          <t>发布看板｜风险清单｜协同入口</t>
        </is>
      </c>
      <c r="H49" t="inlineStr">
        <is>
          <t>互联网｜汽车｜制造｜医疗</t>
        </is>
      </c>
      <c r="I49" t="inlineStr">
        <is>
          <t>高管｜项目经理｜运营</t>
        </is>
      </c>
      <c r="L49" t="inlineStr">
        <is>
          <t>飞书项目（模拟）</t>
        </is>
      </c>
      <c r="R49" t="inlineStr">
        <is>
          <t>否</t>
        </is>
      </c>
      <c r="S49" t="n">
        <v>6</v>
      </c>
      <c r="T49" t="inlineStr">
        <is>
          <t>模拟待校准</t>
        </is>
      </c>
      <c r="U49" t="inlineStr">
        <is>
          <t>演示命名与描述；上线前请替换为真实产品名称、截图、链接和官方说明。</t>
        </is>
      </c>
    </row>
    <row r="50">
      <c r="A50" t="inlineStr">
        <is>
          <t>A013</t>
        </is>
      </c>
      <c r="B50" t="inlineStr">
        <is>
          <t>AI 助手</t>
        </is>
      </c>
      <c r="C50" t="inlineStr">
        <is>
          <t>AI应用</t>
        </is>
      </c>
      <c r="D50" t="inlineStr">
        <is>
          <t>AI节点</t>
        </is>
      </c>
      <c r="E50" t="inlineStr">
        <is>
          <t>在项目流程中执行“创建外部工单”，并将结构化结果写回工作项。</t>
        </is>
      </c>
      <c r="F50" t="inlineStr">
        <is>
          <t>AI 助手用于在明确的流程触发点执行创建外部工单，输入来自当前工作项及关联材料，输出可用于字段回填、流程判断或后续任务。</t>
        </is>
      </c>
      <c r="G50" t="inlineStr">
        <is>
          <t>工单识别｜自动建单</t>
        </is>
      </c>
      <c r="H50" t="inlineStr">
        <is>
          <t>医疗</t>
        </is>
      </c>
      <c r="I50" t="inlineStr">
        <is>
          <t>运营</t>
        </is>
      </c>
      <c r="K50" t="inlineStr">
        <is>
          <t>https://aka.doubaocdn.com/s/OJkgxeTgKd</t>
        </is>
      </c>
      <c r="L50" t="inlineStr">
        <is>
          <t>飞书项目（模拟）</t>
        </is>
      </c>
      <c r="R50" t="inlineStr">
        <is>
          <t>是</t>
        </is>
      </c>
      <c r="S50" t="n">
        <v>103</v>
      </c>
      <c r="T50" t="inlineStr">
        <is>
          <t>模拟待校准</t>
        </is>
      </c>
      <c r="U50" t="inlineStr">
        <is>
          <t>名称和案例来自用户筛选 CSV 序号 3；产品能力与可用性待产品确认。</t>
        </is>
      </c>
    </row>
    <row r="51">
      <c r="A51" t="inlineStr">
        <is>
          <t>A014</t>
        </is>
      </c>
      <c r="B51" t="inlineStr">
        <is>
          <t>AI 智能分配</t>
        </is>
      </c>
      <c r="C51" t="inlineStr">
        <is>
          <t>AI应用</t>
        </is>
      </c>
      <c r="D51" t="inlineStr">
        <is>
          <t>AI节点</t>
        </is>
      </c>
      <c r="E51" t="inlineStr">
        <is>
          <t>在项目流程中执行“分派研发需求”，并将结构化结果写回工作项。</t>
        </is>
      </c>
      <c r="F51" t="inlineStr">
        <is>
          <t>AI 智能分配用于在明确的流程触发点执行分派研发需求，输入来自当前工作项及关联材料，输出可用于字段回填、流程判断或后续任务。</t>
        </is>
      </c>
      <c r="G51" t="inlineStr">
        <is>
          <t>技能匹配｜负载均衡</t>
        </is>
      </c>
      <c r="H51" t="inlineStr">
        <is>
          <t>互联网</t>
        </is>
      </c>
      <c r="I51" t="inlineStr">
        <is>
          <t>项目经理</t>
        </is>
      </c>
      <c r="K51" t="inlineStr">
        <is>
          <t>https://aka.doubaocdn.com/s/nvmVJKYDTY</t>
        </is>
      </c>
      <c r="L51" t="inlineStr">
        <is>
          <t>飞书项目（模拟）</t>
        </is>
      </c>
      <c r="R51" t="inlineStr">
        <is>
          <t>是</t>
        </is>
      </c>
      <c r="S51" t="n">
        <v>107</v>
      </c>
      <c r="T51" t="inlineStr">
        <is>
          <t>模拟待校准</t>
        </is>
      </c>
      <c r="U51" t="inlineStr">
        <is>
          <t>名称和案例来自用户筛选 CSV 序号 7；产品能力与可用性待产品确认。</t>
        </is>
      </c>
    </row>
    <row r="52">
      <c r="A52" t="inlineStr">
        <is>
          <t>A015</t>
        </is>
      </c>
      <c r="B52" t="inlineStr">
        <is>
          <t>AI 缺陷分级</t>
        </is>
      </c>
      <c r="C52" t="inlineStr">
        <is>
          <t>AI应用</t>
        </is>
      </c>
      <c r="D52" t="inlineStr">
        <is>
          <t>AI节点</t>
        </is>
      </c>
      <c r="E52" t="inlineStr">
        <is>
          <t>在项目流程中执行“评定缺陷等级”，并将结构化结果写回工作项。</t>
        </is>
      </c>
      <c r="F52" t="inlineStr">
        <is>
          <t>AI 缺陷分级用于在明确的流程触发点执行评定缺陷等级，输入来自当前工作项及关联材料，输出可用于字段回填、流程判断或后续任务。</t>
        </is>
      </c>
      <c r="G52" t="inlineStr">
        <is>
          <t>严重度分级｜自动指派</t>
        </is>
      </c>
      <c r="H52" t="inlineStr">
        <is>
          <t>游戏</t>
        </is>
      </c>
      <c r="I52" t="inlineStr">
        <is>
          <t>测试</t>
        </is>
      </c>
      <c r="K52" t="inlineStr">
        <is>
          <t>https://aka.doubaocdn.com/s/CvvUzmrizE</t>
        </is>
      </c>
      <c r="L52" t="inlineStr">
        <is>
          <t>飞书项目（模拟）</t>
        </is>
      </c>
      <c r="R52" t="inlineStr">
        <is>
          <t>是</t>
        </is>
      </c>
      <c r="S52" t="n">
        <v>108</v>
      </c>
      <c r="T52" t="inlineStr">
        <is>
          <t>模拟待校准</t>
        </is>
      </c>
      <c r="U52" t="inlineStr">
        <is>
          <t>名称和案例来自用户筛选 CSV 序号 8；产品能力与可用性待产品确认。</t>
        </is>
      </c>
    </row>
    <row r="53">
      <c r="A53" t="inlineStr">
        <is>
          <t>A016</t>
        </is>
      </c>
      <c r="B53" t="inlineStr">
        <is>
          <t>AI 工单分流</t>
        </is>
      </c>
      <c r="C53" t="inlineStr">
        <is>
          <t>AI应用</t>
        </is>
      </c>
      <c r="D53" t="inlineStr">
        <is>
          <t>AI节点</t>
        </is>
      </c>
      <c r="E53" t="inlineStr">
        <is>
          <t>在项目流程中执行“分流客服工单”，并将结构化结果写回工作项。</t>
        </is>
      </c>
      <c r="F53" t="inlineStr">
        <is>
          <t>AI 工单分流用于在明确的流程触发点执行分流客服工单，输入来自当前工作项及关联材料，输出可用于字段回填、流程判断或后续任务。</t>
        </is>
      </c>
      <c r="G53" t="inlineStr">
        <is>
          <t>多级分流｜SLA 管控</t>
        </is>
      </c>
      <c r="H53" t="inlineStr">
        <is>
          <t>零售</t>
        </is>
      </c>
      <c r="I53" t="inlineStr">
        <is>
          <t>运营</t>
        </is>
      </c>
      <c r="K53" t="inlineStr">
        <is>
          <t>https://aka.doubaocdn.com/s/RAu5lPDwZP</t>
        </is>
      </c>
      <c r="L53" t="inlineStr">
        <is>
          <t>飞书项目（模拟）</t>
        </is>
      </c>
      <c r="R53" t="inlineStr">
        <is>
          <t>是</t>
        </is>
      </c>
      <c r="S53" t="n">
        <v>109</v>
      </c>
      <c r="T53" t="inlineStr">
        <is>
          <t>模拟待校准</t>
        </is>
      </c>
      <c r="U53" t="inlineStr">
        <is>
          <t>名称和案例来自用户筛选 CSV 序号 9；产品能力与可用性待产品确认。</t>
        </is>
      </c>
    </row>
    <row r="54">
      <c r="A54" t="inlineStr">
        <is>
          <t>A017</t>
        </is>
      </c>
      <c r="B54" t="inlineStr">
        <is>
          <t>AI 质量检查</t>
        </is>
      </c>
      <c r="C54" t="inlineStr">
        <is>
          <t>AI应用</t>
        </is>
      </c>
      <c r="D54" t="inlineStr">
        <is>
          <t>AI节点</t>
        </is>
      </c>
      <c r="E54" t="inlineStr">
        <is>
          <t>在项目流程中执行“检查交付质量”，并将结构化结果写回工作项。</t>
        </is>
      </c>
      <c r="F54" t="inlineStr">
        <is>
          <t>AI 质量检查用于在明确的流程触发点执行检查交付质量，输入来自当前工作项及关联材料，输出可用于字段回填、流程判断或后续任务。</t>
        </is>
      </c>
      <c r="G54" t="inlineStr">
        <is>
          <t>自动检查｜质量门禁</t>
        </is>
      </c>
      <c r="H54" t="inlineStr">
        <is>
          <t>互联网</t>
        </is>
      </c>
      <c r="I54" t="inlineStr">
        <is>
          <t>测试</t>
        </is>
      </c>
      <c r="K54" t="inlineStr">
        <is>
          <t>https://aka.doubaocdn.com/s/CvvUzmrizE</t>
        </is>
      </c>
      <c r="L54" t="inlineStr">
        <is>
          <t>飞书项目（模拟）</t>
        </is>
      </c>
      <c r="R54" t="inlineStr">
        <is>
          <t>是</t>
        </is>
      </c>
      <c r="S54" t="n">
        <v>110</v>
      </c>
      <c r="T54" t="inlineStr">
        <is>
          <t>模拟待校准</t>
        </is>
      </c>
      <c r="U54" t="inlineStr">
        <is>
          <t>名称和案例来自用户筛选 CSV 序号 10；产品能力与可用性待产品确认。</t>
        </is>
      </c>
    </row>
    <row r="55">
      <c r="A55" t="inlineStr">
        <is>
          <t>A018</t>
        </is>
      </c>
      <c r="B55" t="inlineStr">
        <is>
          <t>AI 合规审计</t>
        </is>
      </c>
      <c r="C55" t="inlineStr">
        <is>
          <t>AI应用</t>
        </is>
      </c>
      <c r="D55" t="inlineStr">
        <is>
          <t>AI节点</t>
        </is>
      </c>
      <c r="E55" t="inlineStr">
        <is>
          <t>在项目流程中执行“检查需求合规”，并将结构化结果写回工作项。</t>
        </is>
      </c>
      <c r="F55" t="inlineStr">
        <is>
          <t>AI 合规审计用于在明确的流程触发点执行检查需求合规，输入来自当前工作项及关联材料，输出可用于字段回填、流程判断或后续任务。</t>
        </is>
      </c>
      <c r="G55" t="inlineStr">
        <is>
          <t>合规检查｜风险评估</t>
        </is>
      </c>
      <c r="H55" t="inlineStr">
        <is>
          <t>金融</t>
        </is>
      </c>
      <c r="I55" t="inlineStr">
        <is>
          <t>高管</t>
        </is>
      </c>
      <c r="K55" t="inlineStr">
        <is>
          <t>https://aka.doubaocdn.com/s/DJabXgkph8</t>
        </is>
      </c>
      <c r="L55" t="inlineStr">
        <is>
          <t>飞书项目（模拟）</t>
        </is>
      </c>
      <c r="R55" t="inlineStr">
        <is>
          <t>是</t>
        </is>
      </c>
      <c r="S55" t="n">
        <v>111</v>
      </c>
      <c r="T55" t="inlineStr">
        <is>
          <t>模拟待校准</t>
        </is>
      </c>
      <c r="U55" t="inlineStr">
        <is>
          <t>名称和案例来自用户筛选 CSV 序号 11；产品能力与可用性待产品确认。</t>
        </is>
      </c>
    </row>
    <row r="56">
      <c r="A56" t="inlineStr">
        <is>
          <t>A019</t>
        </is>
      </c>
      <c r="B56" t="inlineStr">
        <is>
          <t>AI 代码审查</t>
        </is>
      </c>
      <c r="C56" t="inlineStr">
        <is>
          <t>AI应用</t>
        </is>
      </c>
      <c r="D56" t="inlineStr">
        <is>
          <t>AI节点</t>
        </is>
      </c>
      <c r="E56" t="inlineStr">
        <is>
          <t>在项目流程中执行“检查代码提交”，并将结构化结果写回工作项。</t>
        </is>
      </c>
      <c r="F56" t="inlineStr">
        <is>
          <t>AI 代码审查用于在明确的流程触发点执行检查代码提交，输入来自当前工作项及关联材料，输出可用于字段回填、流程判断或后续任务。</t>
        </is>
      </c>
      <c r="G56" t="inlineStr">
        <is>
          <t>代码审查｜合规拦截</t>
        </is>
      </c>
      <c r="H56" t="inlineStr">
        <is>
          <t>汽车</t>
        </is>
      </c>
      <c r="I56" t="inlineStr">
        <is>
          <t>研发</t>
        </is>
      </c>
      <c r="K56" t="inlineStr">
        <is>
          <t>https://aka.doubaocdn.com/s/a3S9pUgsCz</t>
        </is>
      </c>
      <c r="L56" t="inlineStr">
        <is>
          <t>飞书项目（模拟）</t>
        </is>
      </c>
      <c r="R56" t="inlineStr">
        <is>
          <t>是</t>
        </is>
      </c>
      <c r="S56" t="n">
        <v>112</v>
      </c>
      <c r="T56" t="inlineStr">
        <is>
          <t>模拟待校准</t>
        </is>
      </c>
      <c r="U56" t="inlineStr">
        <is>
          <t>名称和案例来自用户筛选 CSV 序号 12；产品能力与可用性待产品确认。</t>
        </is>
      </c>
    </row>
    <row r="57">
      <c r="A57" t="inlineStr">
        <is>
          <t>A020</t>
        </is>
      </c>
      <c r="B57" t="inlineStr">
        <is>
          <t>AI 设计审查</t>
        </is>
      </c>
      <c r="C57" t="inlineStr">
        <is>
          <t>AI应用</t>
        </is>
      </c>
      <c r="D57" t="inlineStr">
        <is>
          <t>AI节点</t>
        </is>
      </c>
      <c r="E57" t="inlineStr">
        <is>
          <t>在项目流程中执行“检查设计规范”，并将结构化结果写回工作项。</t>
        </is>
      </c>
      <c r="F57" t="inlineStr">
        <is>
          <t>AI 设计审查用于在明确的流程触发点执行检查设计规范，输入来自当前工作项及关联材料，输出可用于字段回填、流程判断或后续任务。</t>
        </is>
      </c>
      <c r="G57" t="inlineStr">
        <is>
          <t>设计规范｜组件一致性</t>
        </is>
      </c>
      <c r="H57" t="inlineStr">
        <is>
          <t>消费电子</t>
        </is>
      </c>
      <c r="I57" t="inlineStr">
        <is>
          <t>设计</t>
        </is>
      </c>
      <c r="K57" t="inlineStr">
        <is>
          <t>https://aka.doubaocdn.com/s/bv0qSfwVgG</t>
        </is>
      </c>
      <c r="L57" t="inlineStr">
        <is>
          <t>飞书项目（模拟）</t>
        </is>
      </c>
      <c r="R57" t="inlineStr">
        <is>
          <t>是</t>
        </is>
      </c>
      <c r="S57" t="n">
        <v>113</v>
      </c>
      <c r="T57" t="inlineStr">
        <is>
          <t>模拟待校准</t>
        </is>
      </c>
      <c r="U57" t="inlineStr">
        <is>
          <t>名称和案例来自用户筛选 CSV 序号 13；产品能力与可用性待产品确认。</t>
        </is>
      </c>
    </row>
    <row r="58">
      <c r="A58" t="inlineStr">
        <is>
          <t>A021</t>
        </is>
      </c>
      <c r="B58" t="inlineStr">
        <is>
          <t>AI 影响分析</t>
        </is>
      </c>
      <c r="C58" t="inlineStr">
        <is>
          <t>AI应用</t>
        </is>
      </c>
      <c r="D58" t="inlineStr">
        <is>
          <t>AI节点</t>
        </is>
      </c>
      <c r="E58" t="inlineStr">
        <is>
          <t>在项目流程中执行“评估变更影响”，并将结构化结果写回工作项。</t>
        </is>
      </c>
      <c r="F58" t="inlineStr">
        <is>
          <t>AI 影响分析用于在明确的流程触发点执行评估变更影响，输入来自当前工作项及关联材料，输出可用于字段回填、流程判断或后续任务。</t>
        </is>
      </c>
      <c r="G58" t="inlineStr">
        <is>
          <t>变更影响｜依赖分析</t>
        </is>
      </c>
      <c r="H58" t="inlineStr">
        <is>
          <t>汽车</t>
        </is>
      </c>
      <c r="I58" t="inlineStr">
        <is>
          <t>产品经理</t>
        </is>
      </c>
      <c r="K58" t="inlineStr">
        <is>
          <t>https://aka.doubaocdn.com/s/nvmVJKYDTY</t>
        </is>
      </c>
      <c r="L58" t="inlineStr">
        <is>
          <t>飞书项目（模拟）</t>
        </is>
      </c>
      <c r="R58" t="inlineStr">
        <is>
          <t>是</t>
        </is>
      </c>
      <c r="S58" t="n">
        <v>114</v>
      </c>
      <c r="T58" t="inlineStr">
        <is>
          <t>模拟待校准</t>
        </is>
      </c>
      <c r="U58" t="inlineStr">
        <is>
          <t>名称和案例来自用户筛选 CSV 序号 16；产品能力与可用性待产品确认。</t>
        </is>
      </c>
    </row>
    <row r="59">
      <c r="A59" t="inlineStr">
        <is>
          <t>A022</t>
        </is>
      </c>
      <c r="B59" t="inlineStr">
        <is>
          <t>AI 风险预警</t>
        </is>
      </c>
      <c r="C59" t="inlineStr">
        <is>
          <t>AI应用</t>
        </is>
      </c>
      <c r="D59" t="inlineStr">
        <is>
          <t>AI节点</t>
        </is>
      </c>
      <c r="E59" t="inlineStr">
        <is>
          <t>在项目流程中执行“预警供应链风险”，并将结构化结果写回工作项。</t>
        </is>
      </c>
      <c r="F59" t="inlineStr">
        <is>
          <t>AI 风险预警用于在明确的流程触发点执行预警供应链风险，输入来自当前工作项及关联材料，输出可用于字段回填、流程判断或后续任务。</t>
        </is>
      </c>
      <c r="G59" t="inlineStr">
        <is>
          <t>供应链｜风险预警</t>
        </is>
      </c>
      <c r="H59" t="inlineStr">
        <is>
          <t>制造</t>
        </is>
      </c>
      <c r="I59" t="inlineStr">
        <is>
          <t>高管</t>
        </is>
      </c>
      <c r="K59" t="inlineStr">
        <is>
          <t>https://aka.doubaocdn.com/s/Gkf92x6XVm</t>
        </is>
      </c>
      <c r="L59" t="inlineStr">
        <is>
          <t>飞书项目（模拟）</t>
        </is>
      </c>
      <c r="R59" t="inlineStr">
        <is>
          <t>是</t>
        </is>
      </c>
      <c r="S59" t="n">
        <v>115</v>
      </c>
      <c r="T59" t="inlineStr">
        <is>
          <t>模拟待校准</t>
        </is>
      </c>
      <c r="U59" t="inlineStr">
        <is>
          <t>名称和案例来自用户筛选 CSV 序号 17；产品能力与可用性待产品确认。</t>
        </is>
      </c>
    </row>
    <row r="60">
      <c r="A60" t="inlineStr">
        <is>
          <t>A023</t>
        </is>
      </c>
      <c r="B60" t="inlineStr">
        <is>
          <t>AI 发布说明</t>
        </is>
      </c>
      <c r="C60" t="inlineStr">
        <is>
          <t>AI应用</t>
        </is>
      </c>
      <c r="D60" t="inlineStr">
        <is>
          <t>AI节点</t>
        </is>
      </c>
      <c r="E60" t="inlineStr">
        <is>
          <t>在项目流程中执行“起草发布说明”，并将结构化结果写回工作项。</t>
        </is>
      </c>
      <c r="F60" t="inlineStr">
        <is>
          <t>AI 发布说明用于在明确的流程触发点执行起草发布说明，输入来自当前工作项及关联材料，输出可用于字段回填、流程判断或后续任务。</t>
        </is>
      </c>
      <c r="G60" t="inlineStr">
        <is>
          <t>发布说明｜自动生成</t>
        </is>
      </c>
      <c r="H60" t="inlineStr">
        <is>
          <t>消费电子</t>
        </is>
      </c>
      <c r="I60" t="inlineStr">
        <is>
          <t>研发</t>
        </is>
      </c>
      <c r="K60" t="inlineStr">
        <is>
          <t>https://aka.doubaocdn.com/s/bv0qSfwVgG</t>
        </is>
      </c>
      <c r="L60" t="inlineStr">
        <is>
          <t>飞书项目（模拟）</t>
        </is>
      </c>
      <c r="R60" t="inlineStr">
        <is>
          <t>是</t>
        </is>
      </c>
      <c r="S60" t="n">
        <v>116</v>
      </c>
      <c r="T60" t="inlineStr">
        <is>
          <t>模拟待校准</t>
        </is>
      </c>
      <c r="U60" t="inlineStr">
        <is>
          <t>名称和案例来自用户筛选 CSV 序号 20；产品能力与可用性待产品确认。</t>
        </is>
      </c>
    </row>
    <row r="61">
      <c r="A61" t="inlineStr">
        <is>
          <t>A024</t>
        </is>
      </c>
      <c r="B61" t="inlineStr">
        <is>
          <t>AI 项目规划</t>
        </is>
      </c>
      <c r="C61" t="inlineStr">
        <is>
          <t>AI应用</t>
        </is>
      </c>
      <c r="D61" t="inlineStr">
        <is>
          <t>AI节点</t>
        </is>
      </c>
      <c r="E61" t="inlineStr">
        <is>
          <t>在项目流程中执行“拆解项目计划”，并将结构化结果写回工作项。</t>
        </is>
      </c>
      <c r="F61" t="inlineStr">
        <is>
          <t>AI 项目规划用于在明确的流程触发点执行拆解项目计划，输入来自当前工作项及关联材料，输出可用于字段回填、流程判断或后续任务。</t>
        </is>
      </c>
      <c r="G61" t="inlineStr">
        <is>
          <t>项目拆解｜智能排期</t>
        </is>
      </c>
      <c r="H61" t="inlineStr">
        <is>
          <t>互联网</t>
        </is>
      </c>
      <c r="I61" t="inlineStr">
        <is>
          <t>项目经理</t>
        </is>
      </c>
      <c r="K61" t="inlineStr">
        <is>
          <t>https://aka.doubaocdn.com/s/nvmVJKYDTY</t>
        </is>
      </c>
      <c r="L61" t="inlineStr">
        <is>
          <t>飞书项目（模拟）</t>
        </is>
      </c>
      <c r="R61" t="inlineStr">
        <is>
          <t>是</t>
        </is>
      </c>
      <c r="S61" t="n">
        <v>117</v>
      </c>
      <c r="T61" t="inlineStr">
        <is>
          <t>模拟待校准</t>
        </is>
      </c>
      <c r="U61" t="inlineStr">
        <is>
          <t>名称和案例来自用户筛选 CSV 序号 23；产品能力与可用性待产品确认。</t>
        </is>
      </c>
    </row>
    <row r="62">
      <c r="A62" t="inlineStr">
        <is>
          <t>A025</t>
        </is>
      </c>
      <c r="B62" t="inlineStr">
        <is>
          <t>AI 智能运维</t>
        </is>
      </c>
      <c r="C62" t="inlineStr">
        <is>
          <t>AI应用</t>
        </is>
      </c>
      <c r="D62" t="inlineStr">
        <is>
          <t>AI节点</t>
        </is>
      </c>
      <c r="E62" t="inlineStr">
        <is>
          <t>在项目流程中执行“响应系统故障”，并将结构化结果写回工作项。</t>
        </is>
      </c>
      <c r="F62" t="inlineStr">
        <is>
          <t>AI 智能运维用于在明确的流程触发点执行响应系统故障，输入来自当前工作项及关联材料，输出可用于字段回填、流程判断或后续任务。</t>
        </is>
      </c>
      <c r="G62" t="inlineStr">
        <is>
          <t>故障检测｜自动响应</t>
        </is>
      </c>
      <c r="H62" t="inlineStr">
        <is>
          <t>汽车</t>
        </is>
      </c>
      <c r="I62" t="inlineStr">
        <is>
          <t>研发</t>
        </is>
      </c>
      <c r="K62" t="inlineStr">
        <is>
          <t>https://aka.doubaocdn.com/s/RHeb6ZPb6p</t>
        </is>
      </c>
      <c r="L62" t="inlineStr">
        <is>
          <t>飞书项目（模拟）</t>
        </is>
      </c>
      <c r="R62" t="inlineStr">
        <is>
          <t>是</t>
        </is>
      </c>
      <c r="S62" t="n">
        <v>119</v>
      </c>
      <c r="T62" t="inlineStr">
        <is>
          <t>模拟待校准</t>
        </is>
      </c>
      <c r="U62" t="inlineStr">
        <is>
          <t>名称和案例来自用户筛选 CSV 序号 30；产品能力与可用性待产品确认。</t>
        </is>
      </c>
    </row>
    <row r="63">
      <c r="A63" t="inlineStr">
        <is>
          <t>A026</t>
        </is>
      </c>
      <c r="B63" t="inlineStr">
        <is>
          <t>AI 缺陷报告</t>
        </is>
      </c>
      <c r="C63" t="inlineStr">
        <is>
          <t>AI应用</t>
        </is>
      </c>
      <c r="D63" t="inlineStr">
        <is>
          <t>AI节点</t>
        </is>
      </c>
      <c r="E63" t="inlineStr">
        <is>
          <t>在项目流程中执行“生成缺陷报告”，并将结构化结果写回工作项。</t>
        </is>
      </c>
      <c r="F63" t="inlineStr">
        <is>
          <t>AI 缺陷报告用于在明确的流程触发点执行生成缺陷报告，输入来自当前工作项及关联材料，输出可用于字段回填、流程判断或后续任务。</t>
        </is>
      </c>
      <c r="G63" t="inlineStr">
        <is>
          <t>缺陷报告｜自动补全</t>
        </is>
      </c>
      <c r="H63" t="inlineStr">
        <is>
          <t>互联网</t>
        </is>
      </c>
      <c r="I63" t="inlineStr">
        <is>
          <t>测试</t>
        </is>
      </c>
      <c r="K63" t="inlineStr">
        <is>
          <t>https://aka.doubaocdn.com/s/CvvUzmrizE</t>
        </is>
      </c>
      <c r="L63" t="inlineStr">
        <is>
          <t>飞书项目（模拟）</t>
        </is>
      </c>
      <c r="R63" t="inlineStr">
        <is>
          <t>是</t>
        </is>
      </c>
      <c r="S63" t="n">
        <v>121</v>
      </c>
      <c r="T63" t="inlineStr">
        <is>
          <t>模拟待校准</t>
        </is>
      </c>
      <c r="U63" t="inlineStr">
        <is>
          <t>名称和案例来自用户筛选 CSV 序号 83；产品能力与可用性待产品确认。</t>
        </is>
      </c>
    </row>
    <row r="64">
      <c r="A64" t="inlineStr">
        <is>
          <t>A027</t>
        </is>
      </c>
      <c r="B64" t="inlineStr">
        <is>
          <t>AI 信息补全</t>
        </is>
      </c>
      <c r="C64" t="inlineStr">
        <is>
          <t>AI应用</t>
        </is>
      </c>
      <c r="D64" t="inlineStr">
        <is>
          <t>AI节点</t>
        </is>
      </c>
      <c r="E64" t="inlineStr">
        <is>
          <t>在项目流程中执行“补全企业信息”，并将结构化结果写回工作项。</t>
        </is>
      </c>
      <c r="F64" t="inlineStr">
        <is>
          <t>AI 信息补全用于在明确的流程触发点执行补全企业信息，输入来自当前工作项及关联材料，输出可用于字段回填、流程判断或后续任务。</t>
        </is>
      </c>
      <c r="G64" t="inlineStr">
        <is>
          <t>客户信息｜自动补全</t>
        </is>
      </c>
      <c r="H64" t="inlineStr">
        <is>
          <t>金融</t>
        </is>
      </c>
      <c r="I64" t="inlineStr">
        <is>
          <t>销售</t>
        </is>
      </c>
      <c r="K64" t="inlineStr">
        <is>
          <t>https://aka.doubaocdn.com/s/TYVL9Q4ue4</t>
        </is>
      </c>
      <c r="L64" t="inlineStr">
        <is>
          <t>飞书项目（模拟）</t>
        </is>
      </c>
      <c r="R64" t="inlineStr">
        <is>
          <t>是</t>
        </is>
      </c>
      <c r="S64" t="n">
        <v>122</v>
      </c>
      <c r="T64" t="inlineStr">
        <is>
          <t>模拟待校准</t>
        </is>
      </c>
      <c r="U64" t="inlineStr">
        <is>
          <t>名称和案例来自用户筛选 CSV 序号 84；产品能力与可用性待产品确认。</t>
        </is>
      </c>
    </row>
    <row r="65">
      <c r="A65" t="inlineStr">
        <is>
          <t>A028</t>
        </is>
      </c>
      <c r="B65" t="inlineStr">
        <is>
          <t>AI 风险分析</t>
        </is>
      </c>
      <c r="C65" t="inlineStr">
        <is>
          <t>AI应用</t>
        </is>
      </c>
      <c r="D65" t="inlineStr">
        <is>
          <t>AI节点</t>
        </is>
      </c>
      <c r="E65" t="inlineStr">
        <is>
          <t>在项目流程中执行“评估投资风险”，并将结构化结果写回工作项。</t>
        </is>
      </c>
      <c r="F65" t="inlineStr">
        <is>
          <t>AI 风险分析用于在明确的流程触发点执行评估投资风险，输入来自当前工作项及关联材料，输出可用于字段回填、流程判断或后续任务。</t>
        </is>
      </c>
      <c r="G65" t="inlineStr">
        <is>
          <t>投资风险｜智能评估</t>
        </is>
      </c>
      <c r="H65" t="inlineStr">
        <is>
          <t>金融</t>
        </is>
      </c>
      <c r="I65" t="inlineStr">
        <is>
          <t>高管</t>
        </is>
      </c>
      <c r="K65" t="inlineStr">
        <is>
          <t>https://aka.doubaocdn.com/s/DJabXgkph8</t>
        </is>
      </c>
      <c r="L65" t="inlineStr">
        <is>
          <t>飞书项目（模拟）</t>
        </is>
      </c>
      <c r="R65" t="inlineStr">
        <is>
          <t>是</t>
        </is>
      </c>
      <c r="S65" t="n">
        <v>124</v>
      </c>
      <c r="T65" t="inlineStr">
        <is>
          <t>模拟待校准</t>
        </is>
      </c>
      <c r="U65" t="inlineStr">
        <is>
          <t>名称和案例来自用户筛选 CSV 序号 90；产品能力与可用性待产品确认。</t>
        </is>
      </c>
    </row>
    <row r="66">
      <c r="A66" t="inlineStr">
        <is>
          <t>A029</t>
        </is>
      </c>
      <c r="B66" t="inlineStr">
        <is>
          <t>AI 线索评分</t>
        </is>
      </c>
      <c r="C66" t="inlineStr">
        <is>
          <t>AI应用</t>
        </is>
      </c>
      <c r="D66" t="inlineStr">
        <is>
          <t>AI节点</t>
        </is>
      </c>
      <c r="E66" t="inlineStr">
        <is>
          <t>在项目流程中执行“评估销售线索”，并将结构化结果写回工作项。</t>
        </is>
      </c>
      <c r="F66" t="inlineStr">
        <is>
          <t>AI 线索评分用于在明确的流程触发点执行评估销售线索，输入来自当前工作项及关联材料，输出可用于字段回填、流程判断或后续任务。</t>
        </is>
      </c>
      <c r="G66" t="inlineStr">
        <is>
          <t>线索评分｜优先级排序</t>
        </is>
      </c>
      <c r="H66" t="inlineStr">
        <is>
          <t>金融</t>
        </is>
      </c>
      <c r="I66" t="inlineStr">
        <is>
          <t>销售</t>
        </is>
      </c>
      <c r="K66" t="inlineStr">
        <is>
          <t>https://aka.doubaocdn.com/s/Bx4o2nVU1J</t>
        </is>
      </c>
      <c r="L66" t="inlineStr">
        <is>
          <t>飞书项目（模拟）</t>
        </is>
      </c>
      <c r="R66" t="inlineStr">
        <is>
          <t>是</t>
        </is>
      </c>
      <c r="S66" t="n">
        <v>125</v>
      </c>
      <c r="T66" t="inlineStr">
        <is>
          <t>模拟待校准</t>
        </is>
      </c>
      <c r="U66" t="inlineStr">
        <is>
          <t>名称和案例来自用户筛选 CSV 序号 93；产品能力与可用性待产品确认。</t>
        </is>
      </c>
    </row>
    <row r="67">
      <c r="A67" t="inlineStr">
        <is>
          <t>A030</t>
        </is>
      </c>
      <c r="B67" t="inlineStr">
        <is>
          <t>AI 成本预警</t>
        </is>
      </c>
      <c r="C67" t="inlineStr">
        <is>
          <t>AI应用</t>
        </is>
      </c>
      <c r="D67" t="inlineStr">
        <is>
          <t>AI节点</t>
        </is>
      </c>
      <c r="E67" t="inlineStr">
        <is>
          <t>在项目流程中执行“预警预算超支”，并将结构化结果写回工作项。</t>
        </is>
      </c>
      <c r="F67" t="inlineStr">
        <is>
          <t>AI 成本预警用于在明确的流程触发点执行预警预算超支，输入来自当前工作项及关联材料，输出可用于字段回填、流程判断或后续任务。</t>
        </is>
      </c>
      <c r="G67" t="inlineStr">
        <is>
          <t>预算监控｜超支预警</t>
        </is>
      </c>
      <c r="H67" t="inlineStr">
        <is>
          <t>制造</t>
        </is>
      </c>
      <c r="I67" t="inlineStr">
        <is>
          <t>高管</t>
        </is>
      </c>
      <c r="K67" t="inlineStr">
        <is>
          <t>https://aka.doubaocdn.com/s/Gkf92x6XVm</t>
        </is>
      </c>
      <c r="L67" t="inlineStr">
        <is>
          <t>飞书项目（模拟）</t>
        </is>
      </c>
      <c r="R67" t="inlineStr">
        <is>
          <t>是</t>
        </is>
      </c>
      <c r="S67" t="n">
        <v>127</v>
      </c>
      <c r="T67" t="inlineStr">
        <is>
          <t>模拟待校准</t>
        </is>
      </c>
      <c r="U67" t="inlineStr">
        <is>
          <t>名称和案例来自用户筛选 CSV 序号 102；产品能力与可用性待产品确认。</t>
        </is>
      </c>
    </row>
    <row r="68">
      <c r="A68" t="inlineStr">
        <is>
          <t>A031</t>
        </is>
      </c>
      <c r="B68" t="inlineStr">
        <is>
          <t>AI 流失预警</t>
        </is>
      </c>
      <c r="C68" t="inlineStr">
        <is>
          <t>AI应用</t>
        </is>
      </c>
      <c r="D68" t="inlineStr">
        <is>
          <t>AI节点</t>
        </is>
      </c>
      <c r="E68" t="inlineStr">
        <is>
          <t>在项目流程中执行“预警客户流失”，并将结构化结果写回工作项。</t>
        </is>
      </c>
      <c r="F68" t="inlineStr">
        <is>
          <t>AI 流失预警用于在明确的流程触发点执行预警客户流失，输入来自当前工作项及关联材料，输出可用于字段回填、流程判断或后续任务。</t>
        </is>
      </c>
      <c r="G68" t="inlineStr">
        <is>
          <t>客户流失｜预警挽留</t>
        </is>
      </c>
      <c r="H68" t="inlineStr">
        <is>
          <t>金融</t>
        </is>
      </c>
      <c r="I68" t="inlineStr">
        <is>
          <t>销售</t>
        </is>
      </c>
      <c r="K68" t="inlineStr">
        <is>
          <t>https://aka.doubaocdn.com/s/TYVL9Q4ue4</t>
        </is>
      </c>
      <c r="L68" t="inlineStr">
        <is>
          <t>飞书项目（模拟）</t>
        </is>
      </c>
      <c r="R68" t="inlineStr">
        <is>
          <t>是</t>
        </is>
      </c>
      <c r="S68" t="n">
        <v>128</v>
      </c>
      <c r="T68" t="inlineStr">
        <is>
          <t>模拟待校准</t>
        </is>
      </c>
      <c r="U68" t="inlineStr">
        <is>
          <t>名称和案例来自用户筛选 CSV 序号 104；产品能力与可用性待产品确认。</t>
        </is>
      </c>
    </row>
    <row r="69">
      <c r="A69" t="inlineStr">
        <is>
          <t>A032</t>
        </is>
      </c>
      <c r="B69" t="inlineStr">
        <is>
          <t>AI 选址评估</t>
        </is>
      </c>
      <c r="C69" t="inlineStr">
        <is>
          <t>AI应用</t>
        </is>
      </c>
      <c r="D69" t="inlineStr">
        <is>
          <t>AI节点</t>
        </is>
      </c>
      <c r="E69" t="inlineStr">
        <is>
          <t>在项目流程中执行“评估门店选址”，并将结构化结果写回工作项。</t>
        </is>
      </c>
      <c r="F69" t="inlineStr">
        <is>
          <t>AI 选址评估用于在明确的流程触发点执行评估门店选址，输入来自当前工作项及关联材料，输出可用于字段回填、流程判断或后续任务。</t>
        </is>
      </c>
      <c r="G69" t="inlineStr">
        <is>
          <t>选址评估｜数据驱动</t>
        </is>
      </c>
      <c r="H69" t="inlineStr">
        <is>
          <t>零售</t>
        </is>
      </c>
      <c r="I69" t="inlineStr">
        <is>
          <t>运营</t>
        </is>
      </c>
      <c r="K69" t="inlineStr">
        <is>
          <t>https://aka.doubaocdn.com/s/Bx4o2nVU1J</t>
        </is>
      </c>
      <c r="L69" t="inlineStr">
        <is>
          <t>飞书项目（模拟）</t>
        </is>
      </c>
      <c r="R69" t="inlineStr">
        <is>
          <t>是</t>
        </is>
      </c>
      <c r="S69" t="n">
        <v>130</v>
      </c>
      <c r="T69" t="inlineStr">
        <is>
          <t>模拟待校准</t>
        </is>
      </c>
      <c r="U69" t="inlineStr">
        <is>
          <t>名称和案例来自用户筛选 CSV 序号 110；产品能力与可用性待产品确认。</t>
        </is>
      </c>
    </row>
    <row r="70">
      <c r="A70" t="inlineStr">
        <is>
          <t>A033</t>
        </is>
      </c>
      <c r="B70" t="inlineStr">
        <is>
          <t>AI 资格审核</t>
        </is>
      </c>
      <c r="C70" t="inlineStr">
        <is>
          <t>AI应用</t>
        </is>
      </c>
      <c r="D70" t="inlineStr">
        <is>
          <t>AI节点</t>
        </is>
      </c>
      <c r="E70" t="inlineStr">
        <is>
          <t>在项目流程中执行“审核报名资格”，并将结构化结果写回工作项。</t>
        </is>
      </c>
      <c r="F70" t="inlineStr">
        <is>
          <t>AI 资格审核用于在明确的流程触发点执行审核报名资格，输入来自当前工作项及关联材料，输出可用于字段回填、流程判断或后续任务。</t>
        </is>
      </c>
      <c r="G70" t="inlineStr">
        <is>
          <t>报名审核｜资格校验</t>
        </is>
      </c>
      <c r="H70" t="inlineStr">
        <is>
          <t>教育</t>
        </is>
      </c>
      <c r="I70" t="inlineStr">
        <is>
          <t>运营</t>
        </is>
      </c>
      <c r="K70" t="inlineStr">
        <is>
          <t>https://aka.doubaocdn.com/s/hYfl2K2xZW</t>
        </is>
      </c>
      <c r="L70" t="inlineStr">
        <is>
          <t>飞书项目（模拟）</t>
        </is>
      </c>
      <c r="R70" t="inlineStr">
        <is>
          <t>是</t>
        </is>
      </c>
      <c r="S70" t="n">
        <v>131</v>
      </c>
      <c r="T70" t="inlineStr">
        <is>
          <t>模拟待校准</t>
        </is>
      </c>
      <c r="U70" t="inlineStr">
        <is>
          <t>名称和案例来自用户筛选 CSV 序号 111；产品能力与可用性待产品确认。</t>
        </is>
      </c>
    </row>
  </sheetData>
  <autoFilter ref="A1:U49"/>
  <conditionalFormatting sqref="T2:T300">
    <cfRule type="expression" priority="1" dxfId="0">
      <formula>$T2="模拟待校准"</formula>
    </cfRule>
    <cfRule type="expression" priority="2" dxfId="1">
      <formula>$T2="可发布"</formula>
    </cfRule>
  </conditionalFormatting>
  <dataValidations count="3">
    <dataValidation sqref="C2:C300" showDropDown="0" showInputMessage="0" showErrorMessage="0" allowBlank="1" errorTitle="值不符合规范" error="请选择下拉列表中的值" type="list">
      <formula1>"AI应用,插件,轻应用,模板,解决方案"</formula1>
    </dataValidation>
    <dataValidation sqref="R2:R300" showDropDown="0" showInputMessage="0" showErrorMessage="0" allowBlank="1" errorTitle="值不符合规范" error="请选择下拉列表中的值" type="list">
      <formula1>"是,否"</formula1>
    </dataValidation>
    <dataValidation sqref="T2:T300" showDropDown="0" showInputMessage="0" showErrorMessage="0" allowBlank="1" errorTitle="值不符合规范" error="请选择下拉列表中的值" type="list">
      <formula1>"模拟待校准,草稿,可发布"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tabSelected="1" workbookViewId="0">
      <pane ySplit="1" topLeftCell="A2" activePane="bottomLeft" state="frozen"/>
      <selection activeCell="A1" sqref="A1"/>
      <selection pane="bottomLeft" activeCell="B2" sqref="B2"/>
    </sheetView>
  </sheetViews>
  <sheetFormatPr baseColWidth="8" defaultColWidth="9" defaultRowHeight="16.8"/>
  <cols>
    <col width="12" customWidth="1" min="1" max="4"/>
    <col width="33" customWidth="1" min="5" max="5"/>
    <col width="30" customWidth="1" min="6" max="6"/>
    <col width="12" customWidth="1" min="7" max="7"/>
    <col width="36" customWidth="1" min="8" max="8"/>
    <col width="12" customWidth="1" min="9" max="12"/>
    <col width="30" customWidth="1" min="13" max="13"/>
    <col width="12" customWidth="1" min="14" max="15"/>
  </cols>
  <sheetData>
    <row r="1" ht="30" customHeight="1">
      <c r="A1" s="1" t="inlineStr">
        <is>
          <t>关系ID</t>
        </is>
      </c>
      <c r="B1" s="1" t="inlineStr">
        <is>
          <t>场景ID</t>
        </is>
      </c>
      <c r="C1" s="1" t="inlineStr">
        <is>
          <t>产品ID</t>
        </is>
      </c>
      <c r="D1" s="1" t="inlineStr">
        <is>
          <t>是否主要实现</t>
        </is>
      </c>
      <c r="E1" s="1" t="inlineStr">
        <is>
          <t>使用方法概述</t>
        </is>
      </c>
      <c r="F1" s="1" t="inlineStr">
        <is>
          <t>操作步骤</t>
        </is>
      </c>
      <c r="G1" s="1" t="inlineStr">
        <is>
          <t>交付类型</t>
        </is>
      </c>
      <c r="H1" s="1" t="inlineStr">
        <is>
          <t>参考提示词</t>
        </is>
      </c>
      <c r="I1" t="inlineStr">
        <is>
          <t>PRD正文</t>
        </is>
      </c>
      <c r="J1" s="1" t="inlineStr">
        <is>
          <t>PRD链接</t>
        </is>
      </c>
      <c r="K1" s="1" t="inlineStr">
        <is>
          <t>搭建说明链接</t>
        </is>
      </c>
      <c r="L1" s="1" t="inlineStr">
        <is>
          <t>目标链接</t>
        </is>
      </c>
      <c r="M1" s="1" t="inlineStr">
        <is>
          <t>按钮文案</t>
        </is>
      </c>
      <c r="N1" s="1" t="inlineStr">
        <is>
          <t>配置注意事项</t>
        </is>
      </c>
      <c r="O1" s="1" t="inlineStr">
        <is>
          <t>预期产出</t>
        </is>
      </c>
      <c r="P1" s="1" t="inlineStr">
        <is>
          <t>内容状态</t>
        </is>
      </c>
    </row>
    <row r="2" ht="101" customHeight="1">
      <c r="A2" t="inlineStr">
        <is>
          <t>R021</t>
        </is>
      </c>
      <c r="B2" t="inlineStr">
        <is>
          <t>S001</t>
        </is>
      </c>
      <c r="C2" t="inlineStr">
        <is>
          <t>A008</t>
        </is>
      </c>
      <c r="D2" t="inlineStr">
        <is>
          <t>是</t>
        </is>
      </c>
      <c r="E2" t="inlineStr">
        <is>
          <t>在对应流程节点中配置AI 智能填单，自动完成补全客户信息。</t>
        </is>
      </c>
      <c r="F2" t="inlineStr">
        <is>
          <t>选择触发节点｜配置输入材料｜定义输出字段｜用样例验证</t>
        </is>
      </c>
      <c r="G2" t="inlineStr">
        <is>
          <t>参考提示词</t>
        </is>
      </c>
      <c r="H2" t="inlineStr">
        <is>
          <t>你是项目流程中的“补全客户信息”助手。请结合当前工作项、关联字段和附件完成以下任务：1. 按场景规则处理输入信息；2. 输出可直接写回项目的结构化结果；3. 标注判断依据和待人工确认项；4. 不补充材料中不存在的事实。场景要求：需求评审后，AI 节点自动从会议纪要、邮件中提取关键信息，一键回填到飞书项目字段，无需手动逐条录入。</t>
        </is>
      </c>
      <c r="M2" t="inlineStr">
        <is>
          <t>复制参考提示词</t>
        </is>
      </c>
      <c r="N2" t="inlineStr">
        <is>
          <t>示例内容；上线前需校验字段、权限、触发条件和人工复核机制。</t>
        </is>
      </c>
      <c r="O2" t="inlineStr">
        <is>
          <t>补全客户信息</t>
        </is>
      </c>
      <c r="P2" t="inlineStr">
        <is>
          <t>模拟待校准</t>
        </is>
      </c>
    </row>
    <row r="3" ht="101" customHeight="1">
      <c r="A3" t="inlineStr">
        <is>
          <t>R022</t>
        </is>
      </c>
      <c r="B3" t="inlineStr">
        <is>
          <t>S002</t>
        </is>
      </c>
      <c r="C3" t="inlineStr">
        <is>
          <t>A012</t>
        </is>
      </c>
      <c r="D3" t="inlineStr">
        <is>
          <t>是</t>
        </is>
      </c>
      <c r="E3" t="inlineStr">
        <is>
          <t>在对应流程节点中配置AI 智能会议分析，自动完成拆解会议任务。</t>
        </is>
      </c>
      <c r="F3" t="inlineStr">
        <is>
          <t>选择触发节点｜配置输入材料｜定义输出字段｜用样例验证</t>
        </is>
      </c>
      <c r="G3" t="inlineStr">
        <is>
          <t>参考提示词</t>
        </is>
      </c>
      <c r="H3" t="inlineStr">
        <is>
          <t>你是项目流程中的“拆解会议任务”助手。请结合当前工作项、关联字段和附件完成以下任务：1. 按场景规则处理输入信息；2. 输出可直接写回项目的结构化结果；3. 标注判断依据和待人工确认项；4. 不补充材料中不存在的事实。场景要求：需求评审会结束后，AI 节点自动提取所有待办项和决策要点，一键生成飞书项目子任务并关联到对应工作项，从讨论到执行无缝衔接。</t>
        </is>
      </c>
      <c r="M3" t="inlineStr">
        <is>
          <t>复制参考提示词</t>
        </is>
      </c>
      <c r="N3" t="inlineStr">
        <is>
          <t>示例内容；上线前需校验字段、权限、触发条件和人工复核机制。</t>
        </is>
      </c>
      <c r="O3" t="inlineStr">
        <is>
          <t>拆解会议任务</t>
        </is>
      </c>
      <c r="P3" t="inlineStr">
        <is>
          <t>模拟待校准</t>
        </is>
      </c>
    </row>
    <row r="4" ht="101" customHeight="1">
      <c r="A4" t="inlineStr">
        <is>
          <t>R023</t>
        </is>
      </c>
      <c r="B4" t="inlineStr">
        <is>
          <t>S003</t>
        </is>
      </c>
      <c r="C4" t="inlineStr">
        <is>
          <t>A013</t>
        </is>
      </c>
      <c r="D4" t="inlineStr">
        <is>
          <t>是</t>
        </is>
      </c>
      <c r="E4" t="inlineStr">
        <is>
          <t>在对应流程节点中配置AI 助手，自动完成创建外部工单。</t>
        </is>
      </c>
      <c r="F4" t="inlineStr">
        <is>
          <t>选择触发节点｜配置输入材料｜定义输出字段｜用样例验证</t>
        </is>
      </c>
      <c r="G4" t="inlineStr">
        <is>
          <t>参考提示词</t>
        </is>
      </c>
      <c r="H4" t="inlineStr">
        <is>
          <t>你是项目流程中的“创建外部工单”助手。请结合当前工作项、关联字段和附件完成以下任务：1. 按场景规则处理输入信息；2. 输出可直接写回项目的结构化结果；3. 标注判断依据和待人工确认项；4. 不补充材料中不存在的事实。场景要求：客服系统、邮件、飞书群中的用户反馈，AI 节点自动识别并创建为标准工单，无需人工逐个录入，大幅提升工单处理效率。</t>
        </is>
      </c>
      <c r="M4" t="inlineStr">
        <is>
          <t>复制参考提示词</t>
        </is>
      </c>
      <c r="N4" t="inlineStr">
        <is>
          <t>示例内容；上线前需校验字段、权限、触发条件和人工复核机制。</t>
        </is>
      </c>
      <c r="O4" t="inlineStr">
        <is>
          <t>创建外部工单</t>
        </is>
      </c>
      <c r="P4" t="inlineStr">
        <is>
          <t>模拟待校准</t>
        </is>
      </c>
    </row>
    <row r="5" ht="101" customHeight="1">
      <c r="A5" t="inlineStr">
        <is>
          <t>R024</t>
        </is>
      </c>
      <c r="B5" t="inlineStr">
        <is>
          <t>S004</t>
        </is>
      </c>
      <c r="C5" t="inlineStr">
        <is>
          <t>A013</t>
        </is>
      </c>
      <c r="D5" t="inlineStr">
        <is>
          <t>是</t>
        </is>
      </c>
      <c r="E5" t="inlineStr">
        <is>
          <t>在对应流程节点中配置AI 助手，自动完成创建邮件任务。</t>
        </is>
      </c>
      <c r="F5" t="inlineStr">
        <is>
          <t>选择触发节点｜配置输入材料｜定义输出字段｜用样例验证</t>
        </is>
      </c>
      <c r="G5" t="inlineStr">
        <is>
          <t>参考提示词</t>
        </is>
      </c>
      <c r="H5" t="inlineStr">
        <is>
          <t>你是项目流程中的“创建邮件任务”助手。请结合当前工作项、关联字段和附件完成以下任务：1. 按场景规则处理输入信息；2. 输出可直接写回项目的结构化结果；3. 标注判断依据和待人工确认项；4. 不补充材料中不存在的事实。场景要求：客户或合作方通过邮件提交的需求，AI 节点自动解析邮件内容并生成飞书项目工作项，避免遗漏重要邮件中的待办事项。</t>
        </is>
      </c>
      <c r="M5" t="inlineStr">
        <is>
          <t>复制参考提示词</t>
        </is>
      </c>
      <c r="N5" t="inlineStr">
        <is>
          <t>示例内容；上线前需校验字段、权限、触发条件和人工复核机制。</t>
        </is>
      </c>
      <c r="O5" t="inlineStr">
        <is>
          <t>创建邮件任务</t>
        </is>
      </c>
      <c r="P5" t="inlineStr">
        <is>
          <t>模拟待校准</t>
        </is>
      </c>
    </row>
    <row r="6" ht="101" customHeight="1">
      <c r="A6" t="inlineStr">
        <is>
          <t>R025</t>
        </is>
      </c>
      <c r="B6" t="inlineStr">
        <is>
          <t>S005</t>
        </is>
      </c>
      <c r="C6" t="inlineStr">
        <is>
          <t>A013</t>
        </is>
      </c>
      <c r="D6" t="inlineStr">
        <is>
          <t>是</t>
        </is>
      </c>
      <c r="E6" t="inlineStr">
        <is>
          <t>在对应流程节点中配置AI 助手，自动完成提取合同条款。</t>
        </is>
      </c>
      <c r="F6" t="inlineStr">
        <is>
          <t>选择触发节点｜配置输入材料｜定义输出字段｜用样例验证</t>
        </is>
      </c>
      <c r="G6" t="inlineStr">
        <is>
          <t>参考提示词</t>
        </is>
      </c>
      <c r="H6" t="inlineStr">
        <is>
          <t>你是项目流程中的“提取合同条款”助手。请结合当前工作项、关联字段和附件完成以下任务：1. 按场景规则处理输入信息；2. 输出可直接写回项目的结构化结果；3. 标注判断依据和待人工确认项；4. 不补充材料中不存在的事实。场景要求：上传合同文件后，AI 节点自动提取金额、期限、违约责任等关键条款，结构化录入到工作项字段，减少人工核对时间。</t>
        </is>
      </c>
      <c r="M6" t="inlineStr">
        <is>
          <t>复制参考提示词</t>
        </is>
      </c>
      <c r="N6" t="inlineStr">
        <is>
          <t>示例内容；上线前需校验字段、权限、触发条件和人工复核机制。</t>
        </is>
      </c>
      <c r="O6" t="inlineStr">
        <is>
          <t>提取合同条款</t>
        </is>
      </c>
      <c r="P6" t="inlineStr">
        <is>
          <t>模拟待校准</t>
        </is>
      </c>
    </row>
    <row r="7" ht="101" customHeight="1">
      <c r="A7" t="inlineStr">
        <is>
          <t>R026</t>
        </is>
      </c>
      <c r="B7" t="inlineStr">
        <is>
          <t>S006</t>
        </is>
      </c>
      <c r="C7" t="inlineStr">
        <is>
          <t>A013</t>
        </is>
      </c>
      <c r="D7" t="inlineStr">
        <is>
          <t>是</t>
        </is>
      </c>
      <c r="E7" t="inlineStr">
        <is>
          <t>在对应流程节点中配置AI 助手，自动完成分类客户反馈。</t>
        </is>
      </c>
      <c r="F7" t="inlineStr">
        <is>
          <t>选择触发节点｜配置输入材料｜定义输出字段｜用样例验证</t>
        </is>
      </c>
      <c r="G7" t="inlineStr">
        <is>
          <t>参考提示词</t>
        </is>
      </c>
      <c r="H7" t="inlineStr">
        <is>
          <t>你是项目流程中的“分类客户反馈”助手。请结合当前工作项、关联字段和附件完成以下任务：1. 按场景规则处理输入信息；2. 输出可直接写回项目的结构化结果；3. 标注判断依据和待人工确认项；4. 不补充材料中不存在的事实。场景要求：客服收到用户反馈后，AI 节点自动判断是 Bug、需求还是咨询，秒级路由到对应模块，减少人工分类和转派时间。</t>
        </is>
      </c>
      <c r="M7" t="inlineStr">
        <is>
          <t>复制参考提示词</t>
        </is>
      </c>
      <c r="N7" t="inlineStr">
        <is>
          <t>示例内容；上线前需校验字段、权限、触发条件和人工复核机制。</t>
        </is>
      </c>
      <c r="O7" t="inlineStr">
        <is>
          <t>分类客户反馈</t>
        </is>
      </c>
      <c r="P7" t="inlineStr">
        <is>
          <t>模拟待校准</t>
        </is>
      </c>
    </row>
    <row r="8" ht="51" customHeight="1">
      <c r="A8" t="inlineStr">
        <is>
          <t>R027</t>
        </is>
      </c>
      <c r="B8" t="inlineStr">
        <is>
          <t>S007</t>
        </is>
      </c>
      <c r="C8" t="inlineStr">
        <is>
          <t>A014</t>
        </is>
      </c>
      <c r="D8" t="inlineStr">
        <is>
          <t>是</t>
        </is>
      </c>
      <c r="E8" t="inlineStr">
        <is>
          <t>在对应流程节点中配置AI 智能分配，自动完成分派研发需求。</t>
        </is>
      </c>
      <c r="F8" t="inlineStr">
        <is>
          <t>选择触发节点｜配置输入材料｜定义输出字段｜用样例验证</t>
        </is>
      </c>
      <c r="G8" t="inlineStr">
        <is>
          <t>参考提示词</t>
        </is>
      </c>
      <c r="H8" t="inlineStr">
        <is>
          <t>你是项目流程中的“分派研发需求”助手。请结合当前工作项、关联字段和附件完成以下任务：1. 按场景规则处理输入信息；2. 输出可直接写回项目的结构化结果；3. 标注判断依据和待人工确认项；4. 不补充材料中不存在的事实。场景要求：新需求进入开发阶段时，AI 节点自动匹配最合适的开发人员，兼顾技能匹配度和当前工作负载，避免忙闲不均，减少人工派单时间。</t>
        </is>
      </c>
      <c r="M8" t="inlineStr">
        <is>
          <t>复制参考提示词</t>
        </is>
      </c>
      <c r="N8" t="inlineStr">
        <is>
          <t>示例内容；上线前需校验字段、权限、触发条件和人工复核机制。</t>
        </is>
      </c>
      <c r="O8" t="inlineStr">
        <is>
          <t>分派研发需求</t>
        </is>
      </c>
      <c r="P8" t="inlineStr">
        <is>
          <t>模拟待校准</t>
        </is>
      </c>
    </row>
    <row r="9" ht="101" customHeight="1">
      <c r="A9" t="inlineStr">
        <is>
          <t>R028</t>
        </is>
      </c>
      <c r="B9" t="inlineStr">
        <is>
          <t>S008</t>
        </is>
      </c>
      <c r="C9" t="inlineStr">
        <is>
          <t>A015</t>
        </is>
      </c>
      <c r="D9" t="inlineStr">
        <is>
          <t>是</t>
        </is>
      </c>
      <c r="E9" t="inlineStr">
        <is>
          <t>在对应流程节点中配置AI 缺陷分级，自动完成评定缺陷等级。</t>
        </is>
      </c>
      <c r="F9" t="inlineStr">
        <is>
          <t>选择触发节点｜配置输入材料｜定义输出字段｜用样例验证</t>
        </is>
      </c>
      <c r="G9" t="inlineStr">
        <is>
          <t>参考提示词</t>
        </is>
      </c>
      <c r="H9" t="inlineStr">
        <is>
          <t>你是项目流程中的“评定缺陷等级”助手。请结合当前工作项、关联字段和附件完成以下任务：1. 按场景规则处理输入信息；2. 输出可直接写回项目的结构化结果；3. 标注判断依据和待人工确认项；4. 不补充材料中不存在的事实。场景要求：测试提交 Bug 后，AI 根据严重程度、影响范围和修复成本自动分级，并推荐对应的处理人。</t>
        </is>
      </c>
      <c r="M9" t="inlineStr">
        <is>
          <t>复制参考提示词</t>
        </is>
      </c>
      <c r="N9" t="inlineStr">
        <is>
          <t>示例内容；上线前需校验字段、权限、触发条件和人工复核机制。</t>
        </is>
      </c>
      <c r="O9" t="inlineStr">
        <is>
          <t>评定缺陷等级</t>
        </is>
      </c>
      <c r="P9" t="inlineStr">
        <is>
          <t>模拟待校准</t>
        </is>
      </c>
    </row>
    <row r="10" ht="51" customHeight="1">
      <c r="A10" t="inlineStr">
        <is>
          <t>R029</t>
        </is>
      </c>
      <c r="B10" t="inlineStr">
        <is>
          <t>S009</t>
        </is>
      </c>
      <c r="C10" t="inlineStr">
        <is>
          <t>A016</t>
        </is>
      </c>
      <c r="D10" t="inlineStr">
        <is>
          <t>是</t>
        </is>
      </c>
      <c r="E10" t="inlineStr">
        <is>
          <t>在对应流程节点中配置AI 工单分流，自动完成分流客服工单。</t>
        </is>
      </c>
      <c r="F10" t="inlineStr">
        <is>
          <t>选择触发节点｜配置输入材料｜定义输出字段｜用样例验证</t>
        </is>
      </c>
      <c r="G10" t="inlineStr">
        <is>
          <t>参考提示词</t>
        </is>
      </c>
      <c r="H10" t="inlineStr">
        <is>
          <t>你是项目流程中的“分流客服工单”助手。请结合当前工作项、关联字段和附件完成以下任务：1. 按场景规则处理输入信息；2. 输出可直接写回项目的结构化结果；3. 标注判断依据和待人工确认项；4. 不补充材料中不存在的事实。场景要求：电商平台的客服工单根据产品线、问题类型和用户等级自动分流到对应处理组，SLA 超时自动升级。</t>
        </is>
      </c>
      <c r="M10" t="inlineStr">
        <is>
          <t>复制参考提示词</t>
        </is>
      </c>
      <c r="N10" t="inlineStr">
        <is>
          <t>示例内容；上线前需校验字段、权限、触发条件和人工复核机制。</t>
        </is>
      </c>
      <c r="O10" t="inlineStr">
        <is>
          <t>分流客服工单</t>
        </is>
      </c>
      <c r="P10" t="inlineStr">
        <is>
          <t>模拟待校准</t>
        </is>
      </c>
    </row>
    <row r="11" ht="51" customHeight="1">
      <c r="A11" t="inlineStr">
        <is>
          <t>R030</t>
        </is>
      </c>
      <c r="B11" t="inlineStr">
        <is>
          <t>S010</t>
        </is>
      </c>
      <c r="C11" t="inlineStr">
        <is>
          <t>A017</t>
        </is>
      </c>
      <c r="D11" t="inlineStr">
        <is>
          <t>是</t>
        </is>
      </c>
      <c r="E11" t="inlineStr">
        <is>
          <t>在对应流程节点中配置AI 质量检查，自动完成检查交付质量。</t>
        </is>
      </c>
      <c r="F11" t="inlineStr">
        <is>
          <t>选择触发节点｜配置输入材料｜定义输出字段｜用样例验证</t>
        </is>
      </c>
      <c r="G11" t="inlineStr">
        <is>
          <t>参考提示词</t>
        </is>
      </c>
      <c r="H11" t="inlineStr">
        <is>
          <t>你是项目流程中的“检查交付质量”助手。请结合当前工作项、关联字段和附件完成以下任务：1. 按场景规则处理输入信息；2. 输出可直接写回项目的结构化结果；3. 标注判断依据和待人工确认项；4. 不补充材料中不存在的事实。场景要求：提测节点中，AI 节点自动检查代码是否关联了需求、测试用例是否覆盖了验收标准，不符合的自动驳回并给出原因。</t>
        </is>
      </c>
      <c r="M11" t="inlineStr">
        <is>
          <t>复制参考提示词</t>
        </is>
      </c>
      <c r="N11" t="inlineStr">
        <is>
          <t>示例内容；上线前需校验字段、权限、触发条件和人工复核机制。</t>
        </is>
      </c>
      <c r="O11" t="inlineStr">
        <is>
          <t>检查交付质量</t>
        </is>
      </c>
      <c r="P11" t="inlineStr">
        <is>
          <t>模拟待校准</t>
        </is>
      </c>
    </row>
    <row r="12" ht="51" customHeight="1">
      <c r="A12" t="inlineStr">
        <is>
          <t>R031</t>
        </is>
      </c>
      <c r="B12" t="inlineStr">
        <is>
          <t>S011</t>
        </is>
      </c>
      <c r="C12" t="inlineStr">
        <is>
          <t>A018</t>
        </is>
      </c>
      <c r="D12" t="inlineStr">
        <is>
          <t>是</t>
        </is>
      </c>
      <c r="E12" t="inlineStr">
        <is>
          <t>在对应流程节点中配置AI 合规审计，自动完成检查需求合规。</t>
        </is>
      </c>
      <c r="F12" t="inlineStr">
        <is>
          <t>选择触发节点｜配置输入材料｜定义输出字段｜用样例验证</t>
        </is>
      </c>
      <c r="G12" t="inlineStr">
        <is>
          <t>参考提示词</t>
        </is>
      </c>
      <c r="H12" t="inlineStr">
        <is>
          <t>你是项目流程中的“检查需求合规”助手。请结合当前工作项、关联字段和附件完成以下任务：1. 按场景规则处理输入信息；2. 输出可直接写回项目的结构化结果；3. 标注判断依据和待人工确认项；4. 不补充材料中不存在的事实。场景要求：需求提交审批前，AI 节点自动检查是否满足了合规要求：是否完成了风险评估、是否获得了法务审批、是否标注了数据安全等级。</t>
        </is>
      </c>
      <c r="M12" t="inlineStr">
        <is>
          <t>复制参考提示词</t>
        </is>
      </c>
      <c r="N12" t="inlineStr">
        <is>
          <t>示例内容；上线前需校验字段、权限、触发条件和人工复核机制。</t>
        </is>
      </c>
      <c r="O12" t="inlineStr">
        <is>
          <t>检查需求合规</t>
        </is>
      </c>
      <c r="P12" t="inlineStr">
        <is>
          <t>模拟待校准</t>
        </is>
      </c>
    </row>
    <row r="13" ht="51" customHeight="1">
      <c r="A13" t="inlineStr">
        <is>
          <t>R032</t>
        </is>
      </c>
      <c r="B13" t="inlineStr">
        <is>
          <t>S012</t>
        </is>
      </c>
      <c r="C13" t="inlineStr">
        <is>
          <t>A019</t>
        </is>
      </c>
      <c r="D13" t="inlineStr">
        <is>
          <t>是</t>
        </is>
      </c>
      <c r="E13" t="inlineStr">
        <is>
          <t>在对应流程节点中配置AI 代码审查，自动完成检查代码提交。</t>
        </is>
      </c>
      <c r="F13" t="inlineStr">
        <is>
          <t>选择触发节点｜配置输入材料｜定义输出字段｜用样例验证</t>
        </is>
      </c>
      <c r="G13" t="inlineStr">
        <is>
          <t>参考提示词</t>
        </is>
      </c>
      <c r="H13" t="inlineStr">
        <is>
          <t>你是项目流程中的“检查代码提交”助手。请结合当前工作项、关联字段和附件完成以下任务：1. 按场景规则处理输入信息；2. 输出可直接写回项目的结构化结果；3. 标注判断依据和待人工确认项；4. 不补充材料中不存在的事实。场景要求：代码提交时，AI 节点自动检查是否关联了工作项、是否通过了 Code Review、是否包含必要的测试，不合规的提交自动拦截并通知开发者。</t>
        </is>
      </c>
      <c r="M13" t="inlineStr">
        <is>
          <t>复制参考提示词</t>
        </is>
      </c>
      <c r="N13" t="inlineStr">
        <is>
          <t>示例内容；上线前需校验字段、权限、触发条件和人工复核机制。</t>
        </is>
      </c>
      <c r="O13" t="inlineStr">
        <is>
          <t>检查代码提交</t>
        </is>
      </c>
      <c r="P13" t="inlineStr">
        <is>
          <t>模拟待校准</t>
        </is>
      </c>
    </row>
    <row r="14" ht="51" customHeight="1">
      <c r="A14" t="inlineStr">
        <is>
          <t>R033</t>
        </is>
      </c>
      <c r="B14" t="inlineStr">
        <is>
          <t>S019</t>
        </is>
      </c>
      <c r="C14" t="inlineStr">
        <is>
          <t>A020</t>
        </is>
      </c>
      <c r="D14" t="inlineStr">
        <is>
          <t>是</t>
        </is>
      </c>
      <c r="E14" t="inlineStr">
        <is>
          <t>在对应流程节点中配置AI 设计审查，自动完成检查设计规范。</t>
        </is>
      </c>
      <c r="F14" t="inlineStr">
        <is>
          <t>选择触发节点｜配置输入材料｜定义输出字段｜用样例验证</t>
        </is>
      </c>
      <c r="G14" t="inlineStr">
        <is>
          <t>参考提示词</t>
        </is>
      </c>
      <c r="H14" t="inlineStr">
        <is>
          <t>你是项目流程中的“检查设计规范”助手。请结合当前工作项、关联字段和附件完成以下任务：1. 按场景规则处理输入信息；2. 输出可直接写回项目的结构化结果；3. 标注判断依据和待人工确认项；4. 不补充材料中不存在的事实。场景要求：设计师提交设计稿后，AI 节点自动检查组件库一致性、间距规范、色彩规范等，不符合规范的自动标注并给出修改建议。</t>
        </is>
      </c>
      <c r="M14" t="inlineStr">
        <is>
          <t>复制参考提示词</t>
        </is>
      </c>
      <c r="N14" t="inlineStr">
        <is>
          <t>示例内容；上线前需校验字段、权限、触发条件和人工复核机制。</t>
        </is>
      </c>
      <c r="O14" t="inlineStr">
        <is>
          <t>检查设计规范</t>
        </is>
      </c>
      <c r="P14" t="inlineStr">
        <is>
          <t>模拟待校准</t>
        </is>
      </c>
    </row>
    <row r="15" ht="101" customHeight="1">
      <c r="A15" t="inlineStr">
        <is>
          <t>R034</t>
        </is>
      </c>
      <c r="B15" t="inlineStr">
        <is>
          <t>S020</t>
        </is>
      </c>
      <c r="C15" t="inlineStr">
        <is>
          <t>A021</t>
        </is>
      </c>
      <c r="D15" t="inlineStr">
        <is>
          <t>是</t>
        </is>
      </c>
      <c r="E15" t="inlineStr">
        <is>
          <t>在对应流程节点中配置AI 影响分析，自动完成评估变更影响。</t>
        </is>
      </c>
      <c r="F15" t="inlineStr">
        <is>
          <t>选择触发节点｜配置输入材料｜定义输出字段｜用样例验证</t>
        </is>
      </c>
      <c r="G15" t="inlineStr">
        <is>
          <t>参考提示词</t>
        </is>
      </c>
      <c r="H15" t="inlineStr">
        <is>
          <t>你是项目流程中的“评估变更影响”助手。请结合当前工作项、关联字段和附件完成以下任务：1. 按场景规则处理输入信息；2. 输出可直接写回项目的结构化结果；3. 标注判断依据和待人工确认项；4. 不补充材料中不存在的事实。场景要求：当需求发生变更时，AI 节点自动分析影响的上下游模块、关联任务和依赖关系，输出影响范围评估报告。</t>
        </is>
      </c>
      <c r="M15" t="inlineStr">
        <is>
          <t>复制参考提示词</t>
        </is>
      </c>
      <c r="N15" t="inlineStr">
        <is>
          <t>示例内容；上线前需校验字段、权限、触发条件和人工复核机制。</t>
        </is>
      </c>
      <c r="O15" t="inlineStr">
        <is>
          <t>评估变更影响</t>
        </is>
      </c>
      <c r="P15" t="inlineStr">
        <is>
          <t>模拟待校准</t>
        </is>
      </c>
    </row>
    <row r="16" ht="51" customHeight="1">
      <c r="A16" t="inlineStr">
        <is>
          <t>R035</t>
        </is>
      </c>
      <c r="B16" t="inlineStr">
        <is>
          <t>S021</t>
        </is>
      </c>
      <c r="C16" t="inlineStr">
        <is>
          <t>A022</t>
        </is>
      </c>
      <c r="D16" t="inlineStr">
        <is>
          <t>是</t>
        </is>
      </c>
      <c r="E16" t="inlineStr">
        <is>
          <t>在对应流程节点中配置AI 风险预警，自动完成预警供应链风险。</t>
        </is>
      </c>
      <c r="F16" t="inlineStr">
        <is>
          <t>选择触发节点｜配置输入材料｜定义输出字段｜用样例验证</t>
        </is>
      </c>
      <c r="G16" t="inlineStr">
        <is>
          <t>参考提示词</t>
        </is>
      </c>
      <c r="H16" t="inlineStr">
        <is>
          <t>你是项目流程中的“预警供应链风险”助手。请结合当前工作项、关联字段和附件完成以下任务：1. 按场景规则处理输入信息；2. 输出可直接写回项目的结构化结果；3. 标注判断依据和待人工确认项；4. 不补充材料中不存在的事实。场景要求：供应链关键节点出现异常时（如供应商延期、原材料涨价），AI 节点自动预警并评估对项目交付的影响，推荐替代方案。</t>
        </is>
      </c>
      <c r="M16" t="inlineStr">
        <is>
          <t>复制参考提示词</t>
        </is>
      </c>
      <c r="N16" t="inlineStr">
        <is>
          <t>示例内容；上线前需校验字段、权限、触发条件和人工复核机制。</t>
        </is>
      </c>
      <c r="O16" t="inlineStr">
        <is>
          <t>预警供应链风险</t>
        </is>
      </c>
      <c r="P16" t="inlineStr">
        <is>
          <t>模拟待校准</t>
        </is>
      </c>
    </row>
    <row r="17" ht="51" customHeight="1">
      <c r="A17" t="inlineStr">
        <is>
          <t>R036</t>
        </is>
      </c>
      <c r="B17" t="inlineStr">
        <is>
          <t>S022</t>
        </is>
      </c>
      <c r="C17" t="inlineStr">
        <is>
          <t>A023</t>
        </is>
      </c>
      <c r="D17" t="inlineStr">
        <is>
          <t>是</t>
        </is>
      </c>
      <c r="E17" t="inlineStr">
        <is>
          <t>在对应流程节点中配置AI 发布说明，自动完成起草发布说明。</t>
        </is>
      </c>
      <c r="F17" t="inlineStr">
        <is>
          <t>选择触发节点｜配置输入材料｜定义输出字段｜用样例验证</t>
        </is>
      </c>
      <c r="G17" t="inlineStr">
        <is>
          <t>参考提示词</t>
        </is>
      </c>
      <c r="H17" t="inlineStr">
        <is>
          <t>你是项目流程中的“起草发布说明”助手。请结合当前工作项、关联字段和附件完成以下任务：1. 按场景规则处理输入信息；2. 输出可直接写回项目的结构化结果；3. 标注判断依据和待人工确认项；4. 不补充材料中不存在的事实。场景要求：版本发布前，AI 根据本版本的需求、缺陷和变更记录自动生成 Release Notes，包含功能清单、修复列表和已知问题，研发只需微调即可发布。</t>
        </is>
      </c>
      <c r="M17" t="inlineStr">
        <is>
          <t>复制参考提示词</t>
        </is>
      </c>
      <c r="N17" t="inlineStr">
        <is>
          <t>示例内容；上线前需校验字段、权限、触发条件和人工复核机制。</t>
        </is>
      </c>
      <c r="O17" t="inlineStr">
        <is>
          <t>起草发布说明</t>
        </is>
      </c>
      <c r="P17" t="inlineStr">
        <is>
          <t>模拟待校准</t>
        </is>
      </c>
    </row>
    <row r="18" ht="51" customHeight="1">
      <c r="A18" t="inlineStr">
        <is>
          <t>R037</t>
        </is>
      </c>
      <c r="B18" t="inlineStr">
        <is>
          <t>S023</t>
        </is>
      </c>
      <c r="C18" t="inlineStr">
        <is>
          <t>A024</t>
        </is>
      </c>
      <c r="D18" t="inlineStr">
        <is>
          <t>是</t>
        </is>
      </c>
      <c r="E18" t="inlineStr">
        <is>
          <t>在对应流程节点中配置AI 项目规划，自动完成拆解项目计划。</t>
        </is>
      </c>
      <c r="F18" t="inlineStr">
        <is>
          <t>选择触发节点｜配置输入材料｜定义输出字段｜用样例验证</t>
        </is>
      </c>
      <c r="G18" t="inlineStr">
        <is>
          <t>参考提示词</t>
        </is>
      </c>
      <c r="H18" t="inlineStr">
        <is>
          <t>你是项目流程中的“拆解项目计划”助手。请结合当前工作项、关联字段和附件完成以下任务：1. 按场景规则处理输入信息；2. 输出可直接写回项目的结构化结果；3. 标注判断依据和待人工确认项；4. 不补充材料中不存在的事实。场景要求：立项后，AI 根据历史项目数据和行业模板，自动拆解出任务清单、推荐排期和关键里程碑，项目经理只需微调即可启动。</t>
        </is>
      </c>
      <c r="M18" t="inlineStr">
        <is>
          <t>复制参考提示词</t>
        </is>
      </c>
      <c r="N18" t="inlineStr">
        <is>
          <t>示例内容；上线前需校验字段、权限、触发条件和人工复核机制。</t>
        </is>
      </c>
      <c r="O18" t="inlineStr">
        <is>
          <t>拆解项目计划</t>
        </is>
      </c>
      <c r="P18" t="inlineStr">
        <is>
          <t>模拟待校准</t>
        </is>
      </c>
    </row>
    <row r="19" ht="51" customHeight="1">
      <c r="A19" t="inlineStr">
        <is>
          <t>R038</t>
        </is>
      </c>
      <c r="B19" t="inlineStr">
        <is>
          <t>S024</t>
        </is>
      </c>
      <c r="C19" t="inlineStr">
        <is>
          <t>A009</t>
        </is>
      </c>
      <c r="D19" t="inlineStr">
        <is>
          <t>是</t>
        </is>
      </c>
      <c r="E19" t="inlineStr">
        <is>
          <t>在需求进入测试阶段时生成结构化测试用例，并写入测试管理流程。</t>
        </is>
      </c>
      <c r="F19" t="inlineStr">
        <is>
          <t>选择测试触发节点｜关联 PRD 与原型｜配置用例模板｜生成并评审</t>
        </is>
      </c>
      <c r="G19" t="inlineStr">
        <is>
          <t>参考提示词</t>
        </is>
      </c>
      <c r="H19" t="inlineStr">
        <is>
          <t>你是测试用例设计助手。请结合当前需求、验收标准和关联原型，生成结构化测试用例，覆盖主流程、分支流程、边界条件、异常输入、权限差异和状态转换。每条用例包含用例名称、前置条件、操作步骤、预期结果和优先级；无法确认的规则标记为“待确认”，不要虚构系统行为。</t>
        </is>
      </c>
      <c r="M19" t="inlineStr">
        <is>
          <t>复制参考提示词</t>
        </is>
      </c>
      <c r="N19" t="inlineStr">
        <is>
          <t>示例内容；上线前需校验字段、权限、触发条件和人工复核机制。</t>
        </is>
      </c>
      <c r="O19" t="inlineStr">
        <is>
          <t>结构化测试用例</t>
        </is>
      </c>
      <c r="P19" t="inlineStr">
        <is>
          <t>模拟待校准</t>
        </is>
      </c>
    </row>
    <row r="20" ht="51" customHeight="1">
      <c r="A20" t="inlineStr">
        <is>
          <t>R039</t>
        </is>
      </c>
      <c r="B20" t="inlineStr">
        <is>
          <t>S025</t>
        </is>
      </c>
      <c r="C20" t="inlineStr">
        <is>
          <t>A025</t>
        </is>
      </c>
      <c r="D20" t="inlineStr">
        <is>
          <t>是</t>
        </is>
      </c>
      <c r="E20" t="inlineStr">
        <is>
          <t>在对应流程节点中配置AI 智能运维，自动完成响应系统故障。</t>
        </is>
      </c>
      <c r="F20" t="inlineStr">
        <is>
          <t>选择触发节点｜配置输入材料｜定义输出字段｜用样例验证</t>
        </is>
      </c>
      <c r="G20" t="inlineStr">
        <is>
          <t>参考提示词</t>
        </is>
      </c>
      <c r="H20" t="inlineStr">
        <is>
          <t>你是项目流程中的“响应系统故障”助手。请结合当前工作项、关联字段和附件完成以下任务：1. 按场景规则处理输入信息；2. 输出可直接写回项目的结构化结果；3. 标注判断依据和待人工确认项；4. 不补充材料中不存在的事实。场景要求：线上系统出现异常时，AI 节点自动检测告警、分析根因、创建事故单并通知值班人员，缩短故障发现到响应的时间。</t>
        </is>
      </c>
      <c r="M20" t="inlineStr">
        <is>
          <t>复制参考提示词</t>
        </is>
      </c>
      <c r="N20" t="inlineStr">
        <is>
          <t>示例内容；上线前需校验字段、权限、触发条件和人工复核机制。</t>
        </is>
      </c>
      <c r="O20" t="inlineStr">
        <is>
          <t>响应系统故障</t>
        </is>
      </c>
      <c r="P20" t="inlineStr">
        <is>
          <t>模拟待校准</t>
        </is>
      </c>
    </row>
    <row r="21" ht="51" customHeight="1">
      <c r="A21" t="inlineStr">
        <is>
          <t>R040</t>
        </is>
      </c>
      <c r="B21" t="inlineStr">
        <is>
          <t>S026</t>
        </is>
      </c>
      <c r="C21" t="inlineStr">
        <is>
          <t>A008</t>
        </is>
      </c>
      <c r="D21" t="inlineStr">
        <is>
          <t>是</t>
        </is>
      </c>
      <c r="E21" t="inlineStr">
        <is>
          <t>在对应流程节点中配置AI 智能填单，自动完成补全需求描述。</t>
        </is>
      </c>
      <c r="F21" t="inlineStr">
        <is>
          <t>选择触发节点｜配置输入材料｜定义输出字段｜用样例验证</t>
        </is>
      </c>
      <c r="G21" t="inlineStr">
        <is>
          <t>参考提示词</t>
        </is>
      </c>
      <c r="H21" t="inlineStr">
        <is>
          <t>你是项目流程中的“补全需求描述”助手。请结合当前工作项、关联字段和附件完成以下任务：1. 按场景规则处理输入信息；2. 输出可直接写回项目的结构化结果；3. 标注判断依据和待人工确认项；4. 不补充材料中不存在的事实。场景要求：新建需求时，AI 根据标题自动补全背景描述、验收标准等字段，减少重复录入，提升需求质量。</t>
        </is>
      </c>
      <c r="M21" t="inlineStr">
        <is>
          <t>复制参考提示词</t>
        </is>
      </c>
      <c r="N21" t="inlineStr">
        <is>
          <t>示例内容；上线前需校验字段、权限、触发条件和人工复核机制。</t>
        </is>
      </c>
      <c r="O21" t="inlineStr">
        <is>
          <t>补全需求描述</t>
        </is>
      </c>
      <c r="P21" t="inlineStr">
        <is>
          <t>模拟待校准</t>
        </is>
      </c>
    </row>
    <row r="22">
      <c r="A22" t="inlineStr">
        <is>
          <t>R041</t>
        </is>
      </c>
      <c r="B22" t="inlineStr">
        <is>
          <t>S027</t>
        </is>
      </c>
      <c r="C22" t="inlineStr">
        <is>
          <t>A026</t>
        </is>
      </c>
      <c r="D22" t="inlineStr">
        <is>
          <t>是</t>
        </is>
      </c>
      <c r="E22" t="inlineStr">
        <is>
          <t>在对应流程节点中配置AI 缺陷报告，自动完成生成缺陷报告。</t>
        </is>
      </c>
      <c r="F22" t="inlineStr">
        <is>
          <t>选择触发节点｜配置输入材料｜定义输出字段｜用样例验证</t>
        </is>
      </c>
      <c r="G22" t="inlineStr">
        <is>
          <t>参考提示词</t>
        </is>
      </c>
      <c r="H22" t="inlineStr">
        <is>
          <t>你是项目流程中的“生成缺陷报告”助手。请结合当前工作项、关联字段和附件完成以下任务：1. 按场景规则处理输入信息；2. 输出可直接写回项目的结构化结果；3. 标注判断依据和待人工确认项；4. 不补充材料中不存在的事实。场景要求：测试发现问题后，AI 根据截图和简要描述自动生成完整的缺陷报告，包含复现步骤、预期结果和严重度评估。</t>
        </is>
      </c>
      <c r="M22" t="inlineStr">
        <is>
          <t>复制参考提示词</t>
        </is>
      </c>
      <c r="N22" t="inlineStr">
        <is>
          <t>示例内容；上线前需校验字段、权限、触发条件和人工复核机制。</t>
        </is>
      </c>
      <c r="O22" t="inlineStr">
        <is>
          <t>生成缺陷报告</t>
        </is>
      </c>
      <c r="P22" t="inlineStr">
        <is>
          <t>模拟待校准</t>
        </is>
      </c>
    </row>
    <row r="23">
      <c r="A23" t="inlineStr">
        <is>
          <t>R042</t>
        </is>
      </c>
      <c r="B23" t="inlineStr">
        <is>
          <t>S028</t>
        </is>
      </c>
      <c r="C23" t="inlineStr">
        <is>
          <t>A027</t>
        </is>
      </c>
      <c r="D23" t="inlineStr">
        <is>
          <t>是</t>
        </is>
      </c>
      <c r="E23" t="inlineStr">
        <is>
          <t>在对应流程节点中配置AI 信息补全，自动完成补全企业信息。</t>
        </is>
      </c>
      <c r="F23" t="inlineStr">
        <is>
          <t>选择触发节点｜配置输入材料｜定义输出字段｜用样例验证</t>
        </is>
      </c>
      <c r="G23" t="inlineStr">
        <is>
          <t>参考提示词</t>
        </is>
      </c>
      <c r="H23" t="inlineStr">
        <is>
          <t>你是项目流程中的“补全企业信息”助手。请结合当前工作项、关联字段和附件完成以下任务：1. 按场景规则处理输入信息；2. 输出可直接写回项目的结构化结果；3. 标注判断依据和待人工确认项；4. 不补充材料中不存在的事实。场景要求：录入客户/线索时，AI 节点自动查询并补全企业名称、信用代码、地址等工商信息，减少手动录入。</t>
        </is>
      </c>
      <c r="M23" t="inlineStr">
        <is>
          <t>复制参考提示词</t>
        </is>
      </c>
      <c r="N23" t="inlineStr">
        <is>
          <t>示例内容；上线前需校验字段、权限、触发条件和人工复核机制。</t>
        </is>
      </c>
      <c r="O23" t="inlineStr">
        <is>
          <t>补全企业信息</t>
        </is>
      </c>
      <c r="P23" t="inlineStr">
        <is>
          <t>模拟待校准</t>
        </is>
      </c>
    </row>
    <row r="24">
      <c r="A24" t="inlineStr">
        <is>
          <t>R043</t>
        </is>
      </c>
      <c r="B24" t="inlineStr">
        <is>
          <t>S029</t>
        </is>
      </c>
      <c r="C24" t="inlineStr">
        <is>
          <t>A018</t>
        </is>
      </c>
      <c r="D24" t="inlineStr">
        <is>
          <t>是</t>
        </is>
      </c>
      <c r="E24" t="inlineStr">
        <is>
          <t>在对应流程节点中配置AI 合规审计，自动完成审查金融合规。</t>
        </is>
      </c>
      <c r="F24" t="inlineStr">
        <is>
          <t>选择触发节点｜配置输入材料｜定义输出字段｜用样例验证</t>
        </is>
      </c>
      <c r="G24" t="inlineStr">
        <is>
          <t>参考提示词</t>
        </is>
      </c>
      <c r="H24" t="inlineStr">
        <is>
          <t>你是项目流程中的“审查金融合规”助手。请结合当前工作项、关联字段和附件完成以下任务：1. 按场景规则处理输入信息；2. 输出可直接写回项目的结构化结果；3. 标注判断依据和待人工确认项；4. 不补充材料中不存在的事实。场景要求：金融项目关键节点，AI 节点自动检查是否满足监管合规要求：风险评估完成、法务审批通过、数据安全等级标注。</t>
        </is>
      </c>
      <c r="M24" t="inlineStr">
        <is>
          <t>复制参考提示词</t>
        </is>
      </c>
      <c r="N24" t="inlineStr">
        <is>
          <t>示例内容；上线前需校验字段、权限、触发条件和人工复核机制。</t>
        </is>
      </c>
      <c r="O24" t="inlineStr">
        <is>
          <t>审查金融合规</t>
        </is>
      </c>
      <c r="P24" t="inlineStr">
        <is>
          <t>模拟待校准</t>
        </is>
      </c>
    </row>
    <row r="25">
      <c r="A25" t="inlineStr">
        <is>
          <t>R044</t>
        </is>
      </c>
      <c r="B25" t="inlineStr">
        <is>
          <t>S030</t>
        </is>
      </c>
      <c r="C25" t="inlineStr">
        <is>
          <t>A028</t>
        </is>
      </c>
      <c r="D25" t="inlineStr">
        <is>
          <t>是</t>
        </is>
      </c>
      <c r="E25" t="inlineStr">
        <is>
          <t>在对应流程节点中配置AI 风险分析，自动完成评估投资风险。</t>
        </is>
      </c>
      <c r="F25" t="inlineStr">
        <is>
          <t>选择触发节点｜配置输入材料｜定义输出字段｜用样例验证</t>
        </is>
      </c>
      <c r="G25" t="inlineStr">
        <is>
          <t>参考提示词</t>
        </is>
      </c>
      <c r="H25" t="inlineStr">
        <is>
          <t>你是项目流程中的“评估投资风险”助手。请结合当前工作项、关联字段和附件完成以下任务：1. 按场景规则处理输入信息；2. 输出可直接写回项目的结构化结果；3. 标注判断依据和待人工确认项；4. 不补充材料中不存在的事实。场景要求：投资项目立项前，AI 节点自动评估风险等级，分析市场环境、政策变化和财务指标，输出风险评估报告。</t>
        </is>
      </c>
      <c r="M25" t="inlineStr">
        <is>
          <t>复制参考提示词</t>
        </is>
      </c>
      <c r="N25" t="inlineStr">
        <is>
          <t>示例内容；上线前需校验字段、权限、触发条件和人工复核机制。</t>
        </is>
      </c>
      <c r="O25" t="inlineStr">
        <is>
          <t>评估投资风险</t>
        </is>
      </c>
      <c r="P25" t="inlineStr">
        <is>
          <t>模拟待校准</t>
        </is>
      </c>
    </row>
    <row r="26">
      <c r="A26" t="inlineStr">
        <is>
          <t>R045</t>
        </is>
      </c>
      <c r="B26" t="inlineStr">
        <is>
          <t>S031</t>
        </is>
      </c>
      <c r="C26" t="inlineStr">
        <is>
          <t>A029</t>
        </is>
      </c>
      <c r="D26" t="inlineStr">
        <is>
          <t>是</t>
        </is>
      </c>
      <c r="E26" t="inlineStr">
        <is>
          <t>在对应流程节点中配置AI 线索评分，自动完成评估销售线索。</t>
        </is>
      </c>
      <c r="F26" t="inlineStr">
        <is>
          <t>选择触发节点｜配置输入材料｜定义输出字段｜用样例验证</t>
        </is>
      </c>
      <c r="G26" t="inlineStr">
        <is>
          <t>参考提示词</t>
        </is>
      </c>
      <c r="H26" t="inlineStr">
        <is>
          <t>你是项目流程中的“评估销售线索”助手。请结合当前工作项、关联字段和附件完成以下任务：1. 按场景规则处理输入信息；2. 输出可直接写回项目的结构化结果；3. 标注判断依据和待人工确认项；4. 不补充材料中不存在的事实。场景要求：销售线索进入系统后，AI 根据企业规模、行业、行为数据自动评分，帮销售优先跟进高价值线索。</t>
        </is>
      </c>
      <c r="M26" t="inlineStr">
        <is>
          <t>复制参考提示词</t>
        </is>
      </c>
      <c r="N26" t="inlineStr">
        <is>
          <t>示例内容；上线前需校验字段、权限、触发条件和人工复核机制。</t>
        </is>
      </c>
      <c r="O26" t="inlineStr">
        <is>
          <t>评估销售线索</t>
        </is>
      </c>
      <c r="P26" t="inlineStr">
        <is>
          <t>模拟待校准</t>
        </is>
      </c>
    </row>
    <row r="27">
      <c r="A27" t="inlineStr">
        <is>
          <t>R046</t>
        </is>
      </c>
      <c r="B27" t="inlineStr">
        <is>
          <t>S032</t>
        </is>
      </c>
      <c r="C27" t="inlineStr">
        <is>
          <t>A022</t>
        </is>
      </c>
      <c r="D27" t="inlineStr">
        <is>
          <t>是</t>
        </is>
      </c>
      <c r="E27" t="inlineStr">
        <is>
          <t>在对应流程节点中配置AI 风险预警，自动完成预警项目延期。</t>
        </is>
      </c>
      <c r="F27" t="inlineStr">
        <is>
          <t>选择触发节点｜配置输入材料｜定义输出字段｜用样例验证</t>
        </is>
      </c>
      <c r="G27" t="inlineStr">
        <is>
          <t>参考提示词</t>
        </is>
      </c>
      <c r="H27" t="inlineStr">
        <is>
          <t>你是项目流程中的“预警项目延期”助手。请结合当前工作项、关联字段和附件完成以下任务：1. 按场景规则处理输入信息；2. 输出可直接写回项目的结构化结果；3. 标注判断依据和待人工确认项；4. 不补充材料中不存在的事实。场景要求：AI 实时监控项目进度，当关键节点临近截止日期但未完成时，自动预警并通知相关责任人。</t>
        </is>
      </c>
      <c r="M27" t="inlineStr">
        <is>
          <t>复制参考提示词</t>
        </is>
      </c>
      <c r="N27" t="inlineStr">
        <is>
          <t>示例内容；上线前需校验字段、权限、触发条件和人工复核机制。</t>
        </is>
      </c>
      <c r="O27" t="inlineStr">
        <is>
          <t>预警项目延期</t>
        </is>
      </c>
      <c r="P27" t="inlineStr">
        <is>
          <t>模拟待校准</t>
        </is>
      </c>
    </row>
    <row r="28">
      <c r="A28" t="inlineStr">
        <is>
          <t>R047</t>
        </is>
      </c>
      <c r="B28" t="inlineStr">
        <is>
          <t>S033</t>
        </is>
      </c>
      <c r="C28" t="inlineStr">
        <is>
          <t>A030</t>
        </is>
      </c>
      <c r="D28" t="inlineStr">
        <is>
          <t>是</t>
        </is>
      </c>
      <c r="E28" t="inlineStr">
        <is>
          <t>在对应流程节点中配置AI 成本预警，自动完成预警预算超支。</t>
        </is>
      </c>
      <c r="F28" t="inlineStr">
        <is>
          <t>选择触发节点｜配置输入材料｜定义输出字段｜用样例验证</t>
        </is>
      </c>
      <c r="G28" t="inlineStr">
        <is>
          <t>参考提示词</t>
        </is>
      </c>
      <c r="H28" t="inlineStr">
        <is>
          <t>你是项目流程中的“预警预算超支”助手。请结合当前工作项、关联字段和附件完成以下任务：1. 按场景规则处理输入信息；2. 输出可直接写回项目的结构化结果；3. 标注判断依据和待人工确认项；4. 不补充材料中不存在的事实。场景要求：AI 实时监控项目预算使用情况，当实际支出接近或超出预算时自动预警，推荐成本优化方案。</t>
        </is>
      </c>
      <c r="M28" t="inlineStr">
        <is>
          <t>复制参考提示词</t>
        </is>
      </c>
      <c r="N28" t="inlineStr">
        <is>
          <t>示例内容；上线前需校验字段、权限、触发条件和人工复核机制。</t>
        </is>
      </c>
      <c r="O28" t="inlineStr">
        <is>
          <t>预警预算超支</t>
        </is>
      </c>
      <c r="P28" t="inlineStr">
        <is>
          <t>模拟待校准</t>
        </is>
      </c>
    </row>
    <row r="29">
      <c r="A29" t="inlineStr">
        <is>
          <t>R048</t>
        </is>
      </c>
      <c r="B29" t="inlineStr">
        <is>
          <t>S034</t>
        </is>
      </c>
      <c r="C29" t="inlineStr">
        <is>
          <t>A031</t>
        </is>
      </c>
      <c r="D29" t="inlineStr">
        <is>
          <t>是</t>
        </is>
      </c>
      <c r="E29" t="inlineStr">
        <is>
          <t>在对应流程节点中配置AI 流失预警，自动完成预警客户流失。</t>
        </is>
      </c>
      <c r="F29" t="inlineStr">
        <is>
          <t>选择触发节点｜配置输入材料｜定义输出字段｜用样例验证</t>
        </is>
      </c>
      <c r="G29" t="inlineStr">
        <is>
          <t>参考提示词</t>
        </is>
      </c>
      <c r="H29" t="inlineStr">
        <is>
          <t>你是项目流程中的“预警客户流失”助手。请结合当前工作项、关联字段和附件完成以下任务：1. 按场景规则处理输入信息；2. 输出可直接写回项目的结构化结果；3. 标注判断依据和待人工确认项；4. 不补充材料中不存在的事实。场景要求：AI 分析客户活跃度、使用频率和反馈数据，识别有流失风险的客户并自动预警，建议挽留策略。</t>
        </is>
      </c>
      <c r="M29" t="inlineStr">
        <is>
          <t>复制参考提示词</t>
        </is>
      </c>
      <c r="N29" t="inlineStr">
        <is>
          <t>示例内容；上线前需校验字段、权限、触发条件和人工复核机制。</t>
        </is>
      </c>
      <c r="O29" t="inlineStr">
        <is>
          <t>预警客户流失</t>
        </is>
      </c>
      <c r="P29" t="inlineStr">
        <is>
          <t>模拟待校准</t>
        </is>
      </c>
    </row>
    <row r="30">
      <c r="A30" t="inlineStr">
        <is>
          <t>R049</t>
        </is>
      </c>
      <c r="B30" t="inlineStr">
        <is>
          <t>S035</t>
        </is>
      </c>
      <c r="C30" t="inlineStr">
        <is>
          <t>A018</t>
        </is>
      </c>
      <c r="D30" t="inlineStr">
        <is>
          <t>是</t>
        </is>
      </c>
      <c r="E30" t="inlineStr">
        <is>
          <t>在对应流程节点中配置AI 合规审计，自动完成检查申报材料。</t>
        </is>
      </c>
      <c r="F30" t="inlineStr">
        <is>
          <t>选择触发节点｜配置输入材料｜定义输出字段｜用样例验证</t>
        </is>
      </c>
      <c r="G30" t="inlineStr">
        <is>
          <t>参考提示词</t>
        </is>
      </c>
      <c r="H30" t="inlineStr">
        <is>
          <t>你是项目流程中的“检查申报材料”助手。请结合当前工作项、关联字段和附件完成以下任务：1. 按场景规则处理输入信息；2. 输出可直接写回项目的结构化结果；3. 标注判断依据和待人工确认项；4. 不补充材料中不存在的事实。场景要求：科研项目申报时，AI 节点自动检查申报材料的完整性和合规性，标注缺失项和格式问题，减少人工审核时间。</t>
        </is>
      </c>
      <c r="M30" t="inlineStr">
        <is>
          <t>复制参考提示词</t>
        </is>
      </c>
      <c r="N30" t="inlineStr">
        <is>
          <t>示例内容；上线前需校验字段、权限、触发条件和人工复核机制。</t>
        </is>
      </c>
      <c r="O30" t="inlineStr">
        <is>
          <t>检查申报材料</t>
        </is>
      </c>
      <c r="P30" t="inlineStr">
        <is>
          <t>模拟待校准</t>
        </is>
      </c>
    </row>
    <row r="31">
      <c r="A31" t="inlineStr">
        <is>
          <t>R050</t>
        </is>
      </c>
      <c r="B31" t="inlineStr">
        <is>
          <t>S036</t>
        </is>
      </c>
      <c r="C31" t="inlineStr">
        <is>
          <t>A032</t>
        </is>
      </c>
      <c r="D31" t="inlineStr">
        <is>
          <t>是</t>
        </is>
      </c>
      <c r="E31" t="inlineStr">
        <is>
          <t>在对应流程节点中配置AI 选址评估，自动完成评估门店选址。</t>
        </is>
      </c>
      <c r="F31" t="inlineStr">
        <is>
          <t>选择触发节点｜配置输入材料｜定义输出字段｜用样例验证</t>
        </is>
      </c>
      <c r="G31" t="inlineStr">
        <is>
          <t>参考提示词</t>
        </is>
      </c>
      <c r="H31" t="inlineStr">
        <is>
          <t>你是项目流程中的“评估门店选址”助手。请结合当前工作项、关联字段和附件完成以下任务：1. 按场景规则处理输入信息；2. 输出可直接写回项目的结构化结果；3. 标注判断依据和待人工确认项；4. 不补充材料中不存在的事实。场景要求：门店筹建时，AI 综合分析商圈数据、人流量、竞品分布和租金水平，输出选址评估报告和推荐方案。</t>
        </is>
      </c>
      <c r="M31" t="inlineStr">
        <is>
          <t>复制参考提示词</t>
        </is>
      </c>
      <c r="N31" t="inlineStr">
        <is>
          <t>示例内容；上线前需校验字段、权限、触发条件和人工复核机制。</t>
        </is>
      </c>
      <c r="O31" t="inlineStr">
        <is>
          <t>评估门店选址</t>
        </is>
      </c>
      <c r="P31" t="inlineStr">
        <is>
          <t>模拟待校准</t>
        </is>
      </c>
    </row>
    <row r="32">
      <c r="A32" t="inlineStr">
        <is>
          <t>R051</t>
        </is>
      </c>
      <c r="B32" t="inlineStr">
        <is>
          <t>S037</t>
        </is>
      </c>
      <c r="C32" t="inlineStr">
        <is>
          <t>A033</t>
        </is>
      </c>
      <c r="D32" t="inlineStr">
        <is>
          <t>是</t>
        </is>
      </c>
      <c r="E32" t="inlineStr">
        <is>
          <t>在对应流程节点中配置AI 资格审核，自动完成审核报名资格。</t>
        </is>
      </c>
      <c r="F32" t="inlineStr">
        <is>
          <t>选择触发节点｜配置输入材料｜定义输出字段｜用样例验证</t>
        </is>
      </c>
      <c r="G32" t="inlineStr">
        <is>
          <t>参考提示词</t>
        </is>
      </c>
      <c r="H32" t="inlineStr">
        <is>
          <t>你是项目流程中的“审核报名资格”助手。请结合当前工作项、关联字段和附件完成以下任务：1. 按场景规则处理输入信息；2. 输出可直接写回项目的结构化结果；3. 标注判断依据和待人工确认项；4. 不补充材料中不存在的事实。场景要求：学科赛事报名时，AI 节点自动审核参赛资格：年级、学科、往届成绩等，不符合条件的自动驳回并说明原因。</t>
        </is>
      </c>
      <c r="M32" t="inlineStr">
        <is>
          <t>复制参考提示词</t>
        </is>
      </c>
      <c r="N32" t="inlineStr">
        <is>
          <t>示例内容；上线前需校验字段、权限、触发条件和人工复核机制。</t>
        </is>
      </c>
      <c r="O32" t="inlineStr">
        <is>
          <t>审核报名资格</t>
        </is>
      </c>
      <c r="P32" t="inlineStr">
        <is>
          <t>模拟待校准</t>
        </is>
      </c>
    </row>
    <row r="33">
      <c r="A33" t="inlineStr">
        <is>
          <t>R015</t>
        </is>
      </c>
      <c r="B33" t="inlineStr">
        <is>
          <t>S013</t>
        </is>
      </c>
      <c r="C33" t="inlineStr">
        <is>
          <t>P002</t>
        </is>
      </c>
      <c r="D33" t="inlineStr">
        <is>
          <t>是</t>
        </is>
      </c>
      <c r="E33" t="inlineStr">
        <is>
          <t>通过 ITSM·工单通完成内外系统闭环。</t>
        </is>
      </c>
      <c r="F33" t="inlineStr">
        <is>
          <t>定义字段映射｜配置建单规则｜配置状态同步｜联调回传</t>
        </is>
      </c>
      <c r="G33" t="inlineStr">
        <is>
          <t>PRD</t>
        </is>
      </c>
      <c r="I33" t="inlineStr">
        <is>
          <t xml:space="preserve"># 外部工单接入项目闭环
&gt; 示例 PRD，用于说明复刻范围；实施前需结合目标工单系统 API、字段权限和状态模型校准。
## 1. 背景与目标
客服或 IT 服务台中的外部工单与项目执行系统分离，人工转录容易遗漏上下文，处理状态也无法及时回传。插件需要把符合条件的外部工单自动创建为飞书项目工作项，并持续同步关键状态和处理结果。
## 2. 用户与使用场景
- 客服运营：希望将需要研发处理的工单一键升级为项目任务。
- 项目经理：希望在项目内统一查看负责人、优先级和处理进度。
- 研发人员：希望直接获得问题描述、附件和客户影响范围。
## 3. 功能范围
### 3.1 工单转项目任务
- 支持按工单类型、优先级或人工操作触发建单。
- 映射标题、描述、客户、优先级、附件、来源链接等字段。
- 保存外部工单 ID，避免重复创建。
### 3.2 双向状态同步
- 外部工单升级后，将项目状态、负责人和处理结论回传。
- 对无法映射的状态保留原值，并记录同步日志。
- 同步失败时自动重试，并向管理员发送告警。
### 3.3 权限与审计
- 仅同步当前连接身份有权访问的数据。
- 敏感字段支持配置为不同步或脱敏。
- 记录建单、更新、失败和人工重试事件。
## 4. 核心流程
1. 外部工单达到触发条件。
2. 插件读取工单详情并校验必填字段。
3. 根据映射规则创建或更新项目工作项。
4. 写回项目工作项链接和同步状态。
5. 后续状态变化通过事件触发双向同步。
## 5. 字段映射
- 工单标题 → 工作项标题
- 问题描述 → 工作项描述
- 客户与影响范围 → 客户信息、影响范围字段
- 紧急程度 → 优先级
- 工单处理人 → 工作项负责人
- 附件与原始链接 → 附件、来源链接
## 6. 异常处理
- 必填字段缺失：停止建单并提示补全。
- 重复工单：更新已有工作项，不重复创建。
- 用户匹配失败：保留原处理人文本并进入待分配队列。
- API 限流或超时：指数退避重试，超过阈值后告警。
## 7. 验收标准
- 同一外部工单不会生成多个项目工作项。
- 字段映射结果与配置一致，附件和来源链接可访问。
- 项目状态变化可在约定时间内回传外部系统。
- 同步失败有明确日志、错误原因和人工重试入口。
- 无权限用户无法通过插件读取敏感工单内容。
</t>
        </is>
      </c>
      <c r="M33" t="inlineStr">
        <is>
          <t>下载 PRD</t>
        </is>
      </c>
      <c r="N33" t="inlineStr">
        <is>
          <t>示例说明；请根据真实字段、权限、流程状态和产品能力调整。</t>
        </is>
      </c>
      <c r="O33" t="inlineStr">
        <is>
          <t>工单集成方案</t>
        </is>
      </c>
      <c r="P33" t="inlineStr">
        <is>
          <t>模拟待校准</t>
        </is>
      </c>
    </row>
    <row r="34">
      <c r="A34" t="inlineStr">
        <is>
          <t>R016</t>
        </is>
      </c>
      <c r="B34" t="inlineStr">
        <is>
          <t>S014</t>
        </is>
      </c>
      <c r="C34" t="inlineStr">
        <is>
          <t>P007</t>
        </is>
      </c>
      <c r="D34" t="inlineStr">
        <is>
          <t>是</t>
        </is>
      </c>
      <c r="E34" t="inlineStr">
        <is>
          <t>接入 GitLab 并按任务编号自动关联代码活动。</t>
        </is>
      </c>
      <c r="F34" t="inlineStr">
        <is>
          <t>授权代码仓库｜配置编号规则｜设置状态流转｜验证事件</t>
        </is>
      </c>
      <c r="G34" t="inlineStr">
        <is>
          <t>PRD</t>
        </is>
      </c>
      <c r="I34" t="inlineStr">
        <is>
          <t xml:space="preserve"># 代码提交关联研发任务
&gt; 示例 PRD，用于说明复刻范围；实施前需根据代码平台事件、分支规范和研发流程校准。
## 1. 背景与目标
代码分支、提交和合并请求与研发任务依赖人工关联，项目状态无法反映真实开发进展。插件需要识别代码活动中的任务编号，自动建立关联，并按规则更新研发任务状态。
## 2. 用户与使用场景
- 研发人员：在正常提交代码时自动关联任务，减少重复操作。
- 项目经理：查看任务即可了解分支、提交和合并请求进展。
- 测试人员：在代码合并后及时获得可提测信号。
## 3. 功能范围
### 3.1 任务编号识别
- 从分支名、提交信息和合并请求标题中识别任务编号。
- 支持配置编号正则、项目空间和工作项类型。
- 一个代码活动可关联多个任务，并提示异常编号。
### 3.2 代码活动回写
- 将仓库、分支、提交、合并请求和流水线链接写入任务。
- 展示提交人、发生时间、当前状态和最新结果。
- 对已存在的关联进行幂等更新。
### 3.3 自动状态流转
- 创建分支后，可将任务更新为“开发中”。
- 合并请求创建后，可更新为“待评审”。
- 合并且流水线通过后，可更新为“待测试”。
- 所有状态规则均可关闭或按项目单独配置。
## 4. 核心流程
1. 代码平台发送 Push、Merge Request 或 Pipeline 事件。
2. 插件校验签名并解析任务编号。
3. 查询目标工作项及当前状态。
4. 写入代码活动，并按规则决定是否流转状态。
5. 保存处理结果，失败事件进入重试队列。
## 5. 配置项
- 代码平台地址、仓库范围和访问凭证
- 任务编号识别规则
- 事件类型与状态流转映射
- 是否允许跨项目关联
- 机器人评论模板与通知对象
## 6. 异常处理
- 未识别任务编号：记录事件但不更新工作项。
- 工作项不存在或无权限：标记失败并通知提交人。
- 状态不满足流转条件：只写入代码活动，不强制改状态。
- 重复事件：按事件 ID 幂等处理。
- Webhook 验签失败：拒绝请求并记录安全日志。
## 7. 验收标准
- 符合规则的分支、提交和合并请求能正确关联任务。
- 重复事件不会产生重复关联或重复评论。
- 状态流转严格遵循配置，不覆盖人工终态。
- 失败事件可查询、重试，并显示明确错误原因。
- 访问凭证加密存储，Webhook 请求完成签名校验。
</t>
        </is>
      </c>
      <c r="M34" t="inlineStr">
        <is>
          <t>下载 PRD</t>
        </is>
      </c>
      <c r="N34" t="inlineStr">
        <is>
          <t>示例说明；请根据真实字段、权限、流程状态和产品能力调整。</t>
        </is>
      </c>
      <c r="O34" t="inlineStr">
        <is>
          <t>研发集成方案</t>
        </is>
      </c>
      <c r="P34" t="inlineStr">
        <is>
          <t>模拟待校准</t>
        </is>
      </c>
    </row>
    <row r="35">
      <c r="A35" t="inlineStr">
        <is>
          <t>R017</t>
        </is>
      </c>
      <c r="B35" t="inlineStr">
        <is>
          <t>S015</t>
        </is>
      </c>
      <c r="C35" t="inlineStr">
        <is>
          <t>L001</t>
        </is>
      </c>
      <c r="D35" t="inlineStr">
        <is>
          <t>是</t>
        </is>
      </c>
      <c r="E35" t="inlineStr">
        <is>
          <t>用轻应用搭建一页式管理驾驶舱。</t>
        </is>
      </c>
      <c r="F35" t="inlineStr">
        <is>
          <t>确定指标｜连接数据源｜搭建页面｜配置权限｜发布</t>
        </is>
      </c>
      <c r="G35" t="inlineStr">
        <is>
          <t>搭建说明</t>
        </is>
      </c>
      <c r="M35" t="inlineStr">
        <is>
          <t>查看搭建说明</t>
        </is>
      </c>
      <c r="N35" t="inlineStr">
        <is>
          <t>示例说明；请根据真实字段、权限、流程状态和产品能力调整。</t>
        </is>
      </c>
      <c r="O35" t="inlineStr">
        <is>
          <t>管理驾驶舱</t>
        </is>
      </c>
      <c r="P35" t="inlineStr">
        <is>
          <t>模拟待校准</t>
        </is>
      </c>
    </row>
    <row r="36">
      <c r="A36" t="inlineStr">
        <is>
          <t>R018</t>
        </is>
      </c>
      <c r="B36" t="inlineStr">
        <is>
          <t>S016</t>
        </is>
      </c>
      <c r="C36" t="inlineStr">
        <is>
          <t>L002</t>
        </is>
      </c>
      <c r="D36" t="inlineStr">
        <is>
          <t>是</t>
        </is>
      </c>
      <c r="E36" t="inlineStr">
        <is>
          <t>用轻应用连接会议议题、项目数据和决议。</t>
        </is>
      </c>
      <c r="F36" t="inlineStr">
        <is>
          <t>设计议题结构｜连接项目数据｜配置会后任务｜发布入口</t>
        </is>
      </c>
      <c r="G36" t="inlineStr">
        <is>
          <t>搭建说明</t>
        </is>
      </c>
      <c r="M36" t="inlineStr">
        <is>
          <t>查看搭建说明</t>
        </is>
      </c>
      <c r="N36" t="inlineStr">
        <is>
          <t>示例说明；请根据真实字段、权限、流程状态和产品能力调整。</t>
        </is>
      </c>
      <c r="O36" t="inlineStr">
        <is>
          <t>会议联动汇报台</t>
        </is>
      </c>
      <c r="P36" t="inlineStr">
        <is>
          <t>模拟待校准</t>
        </is>
      </c>
    </row>
    <row r="37">
      <c r="A37" t="inlineStr">
        <is>
          <t>R019</t>
        </is>
      </c>
      <c r="B37" t="inlineStr">
        <is>
          <t>S017</t>
        </is>
      </c>
      <c r="C37" t="inlineStr">
        <is>
          <t>T002</t>
        </is>
      </c>
      <c r="D37" t="inlineStr">
        <is>
          <t>是</t>
        </is>
      </c>
      <c r="E37" t="inlineStr">
        <is>
          <t>复制软件研发管理模板并按团队流程完成初始化。</t>
        </is>
      </c>
      <c r="F37" t="inlineStr">
        <is>
          <t>打开模板｜复制到空间｜调整流程字段｜配置权限｜导入项目</t>
        </is>
      </c>
      <c r="G37" t="inlineStr">
        <is>
          <t>直接链接</t>
        </is>
      </c>
      <c r="M37" t="inlineStr">
        <is>
          <t>使用模板</t>
        </is>
      </c>
      <c r="N37" t="inlineStr">
        <is>
          <t>示例说明；请根据真实字段、权限、流程状态和产品能力调整。</t>
        </is>
      </c>
      <c r="O37" t="inlineStr">
        <is>
          <t>可运行的研发空间</t>
        </is>
      </c>
      <c r="P37" t="inlineStr">
        <is>
          <t>模拟待校准</t>
        </is>
      </c>
    </row>
    <row r="38">
      <c r="A38" t="inlineStr">
        <is>
          <t>R020</t>
        </is>
      </c>
      <c r="B38" t="inlineStr">
        <is>
          <t>S018</t>
        </is>
      </c>
      <c r="C38" t="inlineStr">
        <is>
          <t>O004</t>
        </is>
      </c>
      <c r="D38" t="inlineStr">
        <is>
          <t>是</t>
        </is>
      </c>
      <c r="E38" t="inlineStr">
        <is>
          <t>查看 ASPICE 汽车软件研发方案并结合组织现状规划实施。</t>
        </is>
      </c>
      <c r="F38" t="inlineStr">
        <is>
          <t>查看方案范围｜评估现状差距｜确定实施阶段｜启动方案设计</t>
        </is>
      </c>
      <c r="G38" t="inlineStr">
        <is>
          <t>直接链接</t>
        </is>
      </c>
      <c r="M38" t="inlineStr">
        <is>
          <t>查看解决方案</t>
        </is>
      </c>
      <c r="N38" t="inlineStr">
        <is>
          <t>示例说明；请根据真实字段、权限、流程状态和产品能力调整。</t>
        </is>
      </c>
      <c r="O38" t="inlineStr">
        <is>
          <t>解决方案实施蓝图</t>
        </is>
      </c>
      <c r="P38" t="inlineStr">
        <is>
          <t>模拟待校准</t>
        </is>
      </c>
    </row>
    <row r="39">
      <c r="A39" t="inlineStr">
        <is>
          <t>R052</t>
        </is>
      </c>
      <c r="B39" t="inlineStr">
        <is>
          <t>S038</t>
        </is>
      </c>
      <c r="C39" t="inlineStr">
        <is>
          <t>A011</t>
        </is>
      </c>
      <c r="D39" t="inlineStr">
        <is>
          <t>是</t>
        </is>
      </c>
      <c r="E39" t="inlineStr">
        <is>
          <t>在对应流程节点中配置AI 生成云文档，自动完成撰写产品 PRD。</t>
        </is>
      </c>
      <c r="F39" t="inlineStr">
        <is>
          <t>选择需求节点｜关联背景材料｜配置 PRD 模板｜生成并人工确认</t>
        </is>
      </c>
      <c r="G39" t="inlineStr">
        <is>
          <t>参考提示词</t>
        </is>
      </c>
      <c r="H39" t="inlineStr">
        <is>
          <t>你是产品需求文档助手。请结合当前需求、访谈记录、会议纪要和关联资料，按照“背景与问题、目标与指标、用户与场景、功能范围、用户故事、方案说明、验收标准、风险与待确认项”的结构生成 PRD 初稿。仅使用已有材料，不明确的信息标记为“待确认”，不要虚构数据或结论。</t>
        </is>
      </c>
      <c r="M39" t="inlineStr">
        <is>
          <t>复制参考提示词</t>
        </is>
      </c>
      <c r="N39" t="inlineStr">
        <is>
          <t>示例内容；上线前需校验字段、权限、触发条件和人工复核机制。</t>
        </is>
      </c>
      <c r="O39" t="inlineStr">
        <is>
          <t>结构化 PRD 初稿</t>
        </is>
      </c>
      <c r="P39" t="inlineStr">
        <is>
          <t>模拟待校准</t>
        </is>
      </c>
    </row>
    <row r="40">
      <c r="A40" t="inlineStr">
        <is>
          <t>R053</t>
        </is>
      </c>
      <c r="B40" t="inlineStr">
        <is>
          <t>S039</t>
        </is>
      </c>
      <c r="C40" t="inlineStr">
        <is>
          <t>A001</t>
        </is>
      </c>
      <c r="D40" t="inlineStr">
        <is>
          <t>是</t>
        </is>
      </c>
      <c r="E40" t="inlineStr">
        <is>
          <t>在对应流程节点中配置自定义指令，自动完成走查产品需求。</t>
        </is>
      </c>
      <c r="F40" t="inlineStr">
        <is>
          <t>配置走查清单｜关联 PRD 与原型｜执行需求检查｜确认修改建议</t>
        </is>
      </c>
      <c r="G40" t="inlineStr">
        <is>
          <t>参考提示词</t>
        </is>
      </c>
      <c r="H40" t="inlineStr">
        <is>
          <t>你是资深产品经理，请在需求提交正式评审前完成 PM 走查。检查：1. 背景、目标和成功指标是否明确；2. 用户角色与核心场景是否完整；3. 功能范围和非目标是否清晰；4. 主流程、异常流程和权限逻辑是否闭环；5. 验收标准是否具体可验证。按“问题位置、问题描述、影响、修改建议、严重程度”输出，不替作者补写未经确认的业务事实。</t>
        </is>
      </c>
      <c r="M40" t="inlineStr">
        <is>
          <t>复制参考提示词</t>
        </is>
      </c>
      <c r="N40" t="inlineStr">
        <is>
          <t>示例内容；上线前需校验字段、权限、触发条件和人工复核机制。</t>
        </is>
      </c>
      <c r="O40" t="inlineStr">
        <is>
          <t>需求走查问题清单</t>
        </is>
      </c>
      <c r="P40" t="inlineStr">
        <is>
          <t>模拟待校准</t>
        </is>
      </c>
    </row>
    <row r="41">
      <c r="A41" t="inlineStr">
        <is>
          <t>R054</t>
        </is>
      </c>
      <c r="B41" t="inlineStr">
        <is>
          <t>S040</t>
        </is>
      </c>
      <c r="C41" t="inlineStr">
        <is>
          <t>A005</t>
        </is>
      </c>
      <c r="D41" t="inlineStr">
        <is>
          <t>是</t>
        </is>
      </c>
      <c r="E41" t="inlineStr">
        <is>
          <t>在对应流程节点中配置内容总结，自动完成总结项目成果。</t>
        </is>
      </c>
      <c r="F41" t="inlineStr">
        <is>
          <t>选择结项节点｜汇总项目数据｜配置总结结构｜生成并确认</t>
        </is>
      </c>
      <c r="G41" t="inlineStr">
        <is>
          <t>参考提示词</t>
        </is>
      </c>
      <c r="H41" t="inlineStr">
        <is>
          <t>你是项目总结助手。请结合项目目标、里程碑、交付物、风险记录、变更记录和关键决策，生成项目总结。结构包括：目标达成情况、关键成果、未完成事项、主要问题与处理、有效做法、经验教训、后续行动。每项结论注明依据；无法从材料确认的内容标记“待补充”，不要夸大成果。</t>
        </is>
      </c>
      <c r="M41" t="inlineStr">
        <is>
          <t>复制参考提示词</t>
        </is>
      </c>
      <c r="N41" t="inlineStr">
        <is>
          <t>示例内容；上线前需校验字段、权限、触发条件和人工复核机制。</t>
        </is>
      </c>
      <c r="O41" t="inlineStr">
        <is>
          <t>项目总结初稿</t>
        </is>
      </c>
      <c r="P41" t="inlineStr">
        <is>
          <t>模拟待校准</t>
        </is>
      </c>
    </row>
    <row r="42">
      <c r="A42" t="inlineStr">
        <is>
          <t>R055</t>
        </is>
      </c>
      <c r="B42" t="inlineStr">
        <is>
          <t>S041</t>
        </is>
      </c>
      <c r="C42" t="inlineStr">
        <is>
          <t>A011</t>
        </is>
      </c>
      <c r="D42" t="inlineStr">
        <is>
          <t>是</t>
        </is>
      </c>
      <c r="E42" t="inlineStr">
        <is>
          <t>在对应流程节点中配置AI 生成云文档，自动完成撰写产品手册。</t>
        </is>
      </c>
      <c r="F42" t="inlineStr">
        <is>
          <t>选择发布节点｜关联版本材料｜配置手册目录｜生成并人工校对</t>
        </is>
      </c>
      <c r="G42" t="inlineStr">
        <is>
          <t>参考提示词</t>
        </is>
      </c>
      <c r="H42" t="inlineStr">
        <is>
          <t>你是产品文档助手。请结合当前版本的需求说明、功能描述、操作步骤、权限规则和常见问题，按照“产品概述、适用对象、功能说明、操作指引、权限与限制、常见问题、版本信息”的结构生成产品手册初稿。使用面向最终用户的语言；缺失截图或无法确认的信息标记为“待补充”。</t>
        </is>
      </c>
      <c r="M42" t="inlineStr">
        <is>
          <t>复制参考提示词</t>
        </is>
      </c>
      <c r="N42" t="inlineStr">
        <is>
          <t>示例内容；上线前需校验字段、权限、触发条件和人工复核机制。</t>
        </is>
      </c>
      <c r="O42" t="inlineStr">
        <is>
          <t>产品手册初稿</t>
        </is>
      </c>
      <c r="P42" t="inlineStr">
        <is>
          <t>模拟待校准</t>
        </is>
      </c>
    </row>
  </sheetData>
  <autoFilter ref="A1:O21"/>
  <conditionalFormatting sqref="O2:O300">
    <cfRule type="expression" priority="1" dxfId="0">
      <formula>$O2="模拟待校准"</formula>
    </cfRule>
    <cfRule type="expression" priority="2" dxfId="1">
      <formula>$O2="可发布"</formula>
    </cfRule>
  </conditionalFormatting>
  <dataValidations count="3">
    <dataValidation sqref="D2:D300" showDropDown="0" showInputMessage="0" showErrorMessage="0" allowBlank="1" errorTitle="值不符合规范" error="请选择下拉列表中的值" type="list">
      <formula1>"是,否"</formula1>
    </dataValidation>
    <dataValidation sqref="G2:G300" showDropDown="0" showInputMessage="0" showErrorMessage="0" allowBlank="1" errorTitle="值不符合规范" error="请选择下拉列表中的值" type="list">
      <formula1>"参考提示词,PRD,搭建说明,直接链接"</formula1>
    </dataValidation>
    <dataValidation sqref="O2:O300" showDropDown="0" showInputMessage="0" showErrorMessage="0" allowBlank="1" errorTitle="值不符合规范" error="请选择下拉列表中的值" type="list">
      <formula1>"模拟待校准,草稿,可发布"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0" customWidth="1" min="1" max="1"/>
    <col width="24" customWidth="1" min="2" max="2"/>
    <col width="14" customWidth="1" min="3" max="3"/>
    <col width="90" customWidth="1" min="4" max="4"/>
  </cols>
  <sheetData>
    <row r="1" ht="30" customHeight="1">
      <c r="A1" s="1" t="inlineStr">
        <is>
          <t>工作表</t>
        </is>
      </c>
      <c r="B1" s="1" t="inlineStr">
        <is>
          <t>字段</t>
        </is>
      </c>
      <c r="C1" s="1" t="inlineStr">
        <is>
          <t>必填</t>
        </is>
      </c>
      <c r="D1" s="1" t="inlineStr">
        <is>
          <t>填写说明</t>
        </is>
      </c>
    </row>
    <row r="2" ht="17" customHeight="1">
      <c r="A2" s="2" t="inlineStr">
        <is>
          <t>场景表</t>
        </is>
      </c>
      <c r="B2" s="2" t="inlineStr">
        <is>
          <t>场景ID</t>
        </is>
      </c>
      <c r="C2" s="2" t="inlineStr">
        <is>
          <t>是</t>
        </is>
      </c>
      <c r="D2" s="2" t="inlineStr">
        <is>
          <t>唯一且稳定，建议 S001 起，不随标题变化。</t>
        </is>
      </c>
    </row>
    <row r="3" ht="17" customHeight="1">
      <c r="A3" s="2" t="inlineStr">
        <is>
          <t>场景表</t>
        </is>
      </c>
      <c r="B3" s="2" t="inlineStr">
        <is>
          <t>卡片短描述</t>
        </is>
      </c>
      <c r="C3" s="2" t="inlineStr">
        <is>
          <t>是</t>
        </is>
      </c>
      <c r="D3" s="2" t="inlineStr">
        <is>
          <t>建议 40～70 字，说明发生什么，不写产品功能堆砌。</t>
        </is>
      </c>
    </row>
    <row r="4" ht="17" customHeight="1">
      <c r="A4" s="2" t="inlineStr">
        <is>
          <t>场景表</t>
        </is>
      </c>
      <c r="B4" s="2" t="inlineStr">
        <is>
          <t>问题描述</t>
        </is>
      </c>
      <c r="C4" s="2" t="inlineStr">
        <is>
          <t>是</t>
        </is>
      </c>
      <c r="D4" s="2" t="inlineStr">
        <is>
          <t>详情页场景背景，解释用户为什么需要这个实践。</t>
        </is>
      </c>
    </row>
    <row r="5" ht="17" customHeight="1">
      <c r="A5" s="2" t="inlineStr">
        <is>
          <t>场景表</t>
        </is>
      </c>
      <c r="B5" s="2" t="inlineStr">
        <is>
          <t>场景说明</t>
        </is>
      </c>
      <c r="C5" s="2" t="inlineStr">
        <is>
          <t>是</t>
        </is>
      </c>
      <c r="D5" s="2" t="inlineStr">
        <is>
          <t>详情页左栏，解释流程如何运转，不写按钮说明。</t>
        </is>
      </c>
    </row>
    <row r="6" ht="17" customHeight="1">
      <c r="A6" s="2" t="inlineStr">
        <is>
          <t>场景表</t>
        </is>
      </c>
      <c r="B6" s="2" t="inlineStr">
        <is>
          <t>预期价值</t>
        </is>
      </c>
      <c r="C6" s="2" t="inlineStr">
        <is>
          <t>是</t>
        </is>
      </c>
      <c r="D6" s="2" t="inlineStr">
        <is>
          <t>多个价值使用 ｜ 分隔。</t>
        </is>
      </c>
    </row>
    <row r="7" ht="17" customHeight="1">
      <c r="A7" s="2" t="inlineStr">
        <is>
          <t>场景表</t>
        </is>
      </c>
      <c r="B7" s="2" t="inlineStr">
        <is>
          <t>封面类型</t>
        </is>
      </c>
      <c r="C7" s="2" t="inlineStr">
        <is>
          <t>是</t>
        </is>
      </c>
      <c r="D7" s="2" t="inlineStr">
        <is>
          <t>流程节点或图片。</t>
        </is>
      </c>
    </row>
    <row r="8" ht="17" customHeight="1">
      <c r="A8" s="2" t="inlineStr">
        <is>
          <t>产品表</t>
        </is>
      </c>
      <c r="B8" s="2" t="inlineStr">
        <is>
          <t>产品名称</t>
        </is>
      </c>
      <c r="C8" s="2" t="inlineStr">
        <is>
          <t>是</t>
        </is>
      </c>
      <c r="D8" s="2" t="inlineStr">
        <is>
          <t>使用真实发布名称，禁止用场景名替代产品名。</t>
        </is>
      </c>
    </row>
    <row r="9" ht="17" customHeight="1">
      <c r="A9" s="2" t="inlineStr">
        <is>
          <t>产品表</t>
        </is>
      </c>
      <c r="B9" s="2" t="inlineStr">
        <is>
          <t>目录是否展示</t>
        </is>
      </c>
      <c r="C9" s="2" t="inlineStr">
        <is>
          <t>是</t>
        </is>
      </c>
      <c r="D9" s="2" t="inlineStr">
        <is>
          <t>轻应用必须为否，其余按实际情况。</t>
        </is>
      </c>
    </row>
    <row r="10" ht="17" customHeight="1">
      <c r="A10" s="2" t="inlineStr">
        <is>
          <t>产品表</t>
        </is>
      </c>
      <c r="B10" s="2" t="inlineStr">
        <is>
          <t>来源URL</t>
        </is>
      </c>
      <c r="C10" s="2" t="inlineStr">
        <is>
          <t>核实内容必填</t>
        </is>
      </c>
      <c r="D10" s="2" t="inlineStr">
        <is>
          <t>记录名称、描述或案例的公开来源，方便复核。</t>
        </is>
      </c>
    </row>
    <row r="11" ht="17" customHeight="1">
      <c r="A11" s="2" t="inlineStr">
        <is>
          <t>关系表</t>
        </is>
      </c>
      <c r="B11" s="2" t="inlineStr">
        <is>
          <t>使用方法概述</t>
        </is>
      </c>
      <c r="C11" s="2" t="inlineStr">
        <is>
          <t>是</t>
        </is>
      </c>
      <c r="D11" s="2" t="inlineStr">
        <is>
          <t>推荐详情右栏的使用方法摘要。</t>
        </is>
      </c>
    </row>
    <row r="12" ht="17" customHeight="1">
      <c r="A12" s="2" t="inlineStr">
        <is>
          <t>关系表</t>
        </is>
      </c>
      <c r="B12" s="2" t="inlineStr">
        <is>
          <t>操作步骤</t>
        </is>
      </c>
      <c r="C12" s="2" t="inlineStr">
        <is>
          <t>是</t>
        </is>
      </c>
      <c r="D12" s="2" t="inlineStr">
        <is>
          <t>按顺序填写，步骤间使用 ｜ 分隔。</t>
        </is>
      </c>
    </row>
    <row r="13" ht="17" customHeight="1">
      <c r="A13" s="2" t="inlineStr">
        <is>
          <t>关系表</t>
        </is>
      </c>
      <c r="B13" s="2" t="inlineStr">
        <is>
          <t>交付类型</t>
        </is>
      </c>
      <c r="C13" s="2" t="inlineStr">
        <is>
          <t>是</t>
        </is>
      </c>
      <c r="D13" s="2" t="inlineStr">
        <is>
          <t>参考提示词、PRD、搭建说明或直接链接。</t>
        </is>
      </c>
    </row>
    <row r="14" ht="17" customHeight="1">
      <c r="A14" s="2" t="inlineStr">
        <is>
          <t>关系表</t>
        </is>
      </c>
      <c r="B14" s="2" t="inlineStr">
        <is>
          <t>参考提示词</t>
        </is>
      </c>
      <c r="C14" s="2" t="inlineStr">
        <is>
          <t>条件必填</t>
        </is>
      </c>
      <c r="D14" s="2" t="inlineStr">
        <is>
          <t>只用于推荐场景中的 AI 最佳实践，不属于 AI 应用产品本身。</t>
        </is>
      </c>
    </row>
    <row r="15">
      <c r="A15" t="inlineStr">
        <is>
          <t>场景表</t>
        </is>
      </c>
      <c r="B15" t="inlineStr">
        <is>
          <t>工作目标</t>
        </is>
      </c>
      <c r="C15" t="inlineStr">
        <is>
          <t>好方法必填</t>
        </is>
      </c>
      <c r="D15" t="inlineStr">
        <is>
          <t>按用户要完成的工作分类，不按 AI 应用、插件或轻应用等产品类型分类。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22" customWidth="1" min="1" max="1"/>
    <col width="90" customWidth="1" min="2" max="2"/>
    <col width="40" customWidth="1" min="3" max="3"/>
  </cols>
  <sheetData>
    <row r="1" ht="30" customHeight="1">
      <c r="A1" s="1" t="inlineStr">
        <is>
          <t>枚举名称</t>
        </is>
      </c>
      <c r="B1" s="1" t="inlineStr">
        <is>
          <t>可选值</t>
        </is>
      </c>
      <c r="C1" s="1" t="inlineStr">
        <is>
          <t>备注</t>
        </is>
      </c>
    </row>
    <row r="2" ht="17" customHeight="1">
      <c r="A2" s="2" t="inlineStr">
        <is>
          <t>产品类型</t>
        </is>
      </c>
      <c r="B2" s="2" t="inlineStr">
        <is>
          <t>AI应用｜插件｜轻应用｜模板｜解决方案</t>
        </is>
      </c>
      <c r="C2" s="2" t="inlineStr">
        <is>
          <t>轻应用只在推荐出现</t>
        </is>
      </c>
    </row>
    <row r="3" ht="34" customHeight="1">
      <c r="A3" s="2" t="inlineStr">
        <is>
          <t>产品子类型</t>
        </is>
      </c>
      <c r="B3" s="2" t="inlineStr">
        <is>
          <t>AI节点｜AI字段</t>
        </is>
      </c>
      <c r="C3" s="2" t="inlineStr">
        <is>
          <t>官网当前精选 AI 应用按 AI 节点与 AI 字段展示</t>
        </is>
      </c>
    </row>
    <row r="4" ht="17" customHeight="1">
      <c r="A4" s="2" t="inlineStr">
        <is>
          <t>封面类型</t>
        </is>
      </c>
      <c r="B4" s="2" t="inlineStr">
        <is>
          <t>流程节点｜图片</t>
        </is>
      </c>
      <c r="C4" s="2" t="inlineStr"/>
    </row>
    <row r="5" ht="17" customHeight="1">
      <c r="A5" s="2" t="inlineStr">
        <is>
          <t>是否</t>
        </is>
      </c>
      <c r="B5" s="2" t="inlineStr">
        <is>
          <t>是｜否</t>
        </is>
      </c>
      <c r="C5" s="2" t="inlineStr"/>
    </row>
    <row r="6" ht="17" customHeight="1">
      <c r="A6" s="2" t="inlineStr">
        <is>
          <t>内容状态</t>
        </is>
      </c>
      <c r="B6" s="2" t="inlineStr">
        <is>
          <t>模拟待校准｜草稿｜可发布</t>
        </is>
      </c>
      <c r="C6" s="2" t="inlineStr">
        <is>
          <t>只有核实后的内容才设为可发布</t>
        </is>
      </c>
    </row>
    <row r="7" ht="17" customHeight="1">
      <c r="A7" s="2" t="inlineStr">
        <is>
          <t>交付类型</t>
        </is>
      </c>
      <c r="B7" s="2" t="inlineStr">
        <is>
          <t>参考提示词｜PRD｜搭建说明｜直接链接</t>
        </is>
      </c>
      <c r="C7" s="2" t="inlineStr"/>
    </row>
    <row r="8" ht="17" customHeight="1">
      <c r="A8" s="2" t="inlineStr">
        <is>
          <t>行业</t>
        </is>
      </c>
      <c r="B8" s="2" t="inlineStr">
        <is>
          <t>互联网｜汽车｜消费电子｜制造｜金融｜游戏｜教育｜医疗｜零售｜能源</t>
        </is>
      </c>
      <c r="C8" s="2" t="inlineStr"/>
    </row>
    <row r="9" ht="17" customHeight="1">
      <c r="A9" s="2" t="inlineStr">
        <is>
          <t>角色</t>
        </is>
      </c>
      <c r="B9" s="2" t="inlineStr">
        <is>
          <t>产品经理｜项目经理｜研发｜测试｜设计｜运营｜销售｜高管</t>
        </is>
      </c>
      <c r="C9" s="2" t="inlineStr"/>
    </row>
    <row r="10">
      <c r="A10" t="inlineStr">
        <is>
          <t>工作目标</t>
        </is>
      </c>
      <c r="B10" t="inlineStr">
        <is>
          <t>信息提取与补全｜内容撰写与总结｜计划拆解与协同｜分类分派与流转｜质量检查与审核｜分析评估与预警</t>
        </is>
      </c>
      <c r="C10" t="inlineStr">
        <is>
          <t>用于第二套方案“好方法”的用户侧分类。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26" customWidth="1" min="1" max="1"/>
    <col width="18" customWidth="1" min="2" max="2"/>
    <col width="60" customWidth="1" min="3" max="3"/>
  </cols>
  <sheetData>
    <row r="1" ht="30" customHeight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 ht="17" customHeight="1">
      <c r="A2" s="2" t="inlineStr">
        <is>
          <t>场景数量</t>
        </is>
      </c>
      <c r="B2" s="2">
        <f>COUNTA(场景表!A:A)-1</f>
        <v/>
      </c>
      <c r="C2" s="2" t="inlineStr">
        <is>
          <t>推荐演示建议 18 条</t>
        </is>
      </c>
    </row>
    <row r="3" ht="17" customHeight="1">
      <c r="A3" s="2" t="inlineStr">
        <is>
          <t>产品数量</t>
        </is>
      </c>
      <c r="B3" s="2">
        <f>COUNTA(产品表!A:A)-1</f>
        <v/>
      </c>
      <c r="C3" s="2" t="inlineStr">
        <is>
          <t>含仅推荐出现的轻应用</t>
        </is>
      </c>
    </row>
    <row r="4" ht="17" customHeight="1">
      <c r="A4" s="2" t="inlineStr">
        <is>
          <t>关系数量</t>
        </is>
      </c>
      <c r="B4" s="2">
        <f>COUNTA(场景产品关系表!A:A)-1</f>
        <v/>
      </c>
      <c r="C4" s="2" t="inlineStr">
        <is>
          <t>每个推荐场景至少一条关系</t>
        </is>
      </c>
    </row>
    <row r="5" ht="17" customHeight="1">
      <c r="A5" s="2" t="inlineStr">
        <is>
          <t>未关联场景数</t>
        </is>
      </c>
      <c r="B5" s="2">
        <f>COUNTIF(场景产品关系表!B:B,"")-1</f>
        <v/>
      </c>
      <c r="C5" s="2" t="inlineStr">
        <is>
          <t>应为 0；空白预留行不计入实际导入</t>
        </is>
      </c>
    </row>
    <row r="6" ht="17" customHeight="1">
      <c r="A6" s="2" t="inlineStr">
        <is>
          <t>可发布场景数</t>
        </is>
      </c>
      <c r="B6" s="2">
        <f>COUNTIF(场景表!P:P,"可发布")</f>
        <v/>
      </c>
      <c r="C6" s="2" t="inlineStr">
        <is>
          <t>上线前逐条核实后更新</t>
        </is>
      </c>
    </row>
    <row r="7" ht="17" customHeight="1">
      <c r="A7" s="2" t="inlineStr">
        <is>
          <t>可发布产品数</t>
        </is>
      </c>
      <c r="B7" s="2">
        <f>COUNTIF(产品表!T:T,"可发布")</f>
        <v/>
      </c>
      <c r="C7" s="2" t="inlineStr">
        <is>
          <t>上线前逐条核实后更新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场景ID</t>
        </is>
      </c>
      <c r="B1" t="inlineStr">
        <is>
          <t>场景名称</t>
        </is>
      </c>
      <c r="C1" t="inlineStr">
        <is>
          <t>AI应用ID</t>
        </is>
      </c>
      <c r="D1" t="inlineStr">
        <is>
          <t>AI应用名称</t>
        </is>
      </c>
    </row>
    <row r="2">
      <c r="A2" t="inlineStr">
        <is>
          <t>S001</t>
        </is>
      </c>
      <c r="B2" t="inlineStr">
        <is>
          <t>补全客户信息</t>
        </is>
      </c>
      <c r="C2" t="inlineStr">
        <is>
          <t>A001</t>
        </is>
      </c>
      <c r="D2" t="inlineStr">
        <is>
          <t>自定义指令</t>
        </is>
      </c>
    </row>
    <row r="3">
      <c r="A3" t="inlineStr">
        <is>
          <t>S002</t>
        </is>
      </c>
      <c r="B3" t="inlineStr">
        <is>
          <t>拆解会议任务</t>
        </is>
      </c>
      <c r="C3" t="inlineStr">
        <is>
          <t>A002</t>
        </is>
      </c>
      <c r="D3" t="inlineStr">
        <is>
          <t>智能打分</t>
        </is>
      </c>
    </row>
    <row r="4">
      <c r="A4" t="inlineStr">
        <is>
          <t>S003</t>
        </is>
      </c>
      <c r="B4" t="inlineStr">
        <is>
          <t>创建外部工单</t>
        </is>
      </c>
      <c r="C4" t="inlineStr">
        <is>
          <t>A003</t>
        </is>
      </c>
      <c r="D4" t="inlineStr">
        <is>
          <t>分类打标</t>
        </is>
      </c>
    </row>
    <row r="5">
      <c r="A5" t="inlineStr">
        <is>
          <t>S004</t>
        </is>
      </c>
      <c r="B5" t="inlineStr">
        <is>
          <t>创建邮件任务</t>
        </is>
      </c>
      <c r="C5" t="inlineStr">
        <is>
          <t>A004</t>
        </is>
      </c>
      <c r="D5" t="inlineStr">
        <is>
          <t>关键内容提取</t>
        </is>
      </c>
    </row>
    <row r="6">
      <c r="A6" t="inlineStr">
        <is>
          <t>S005</t>
        </is>
      </c>
      <c r="B6" t="inlineStr">
        <is>
          <t>提取合同条款</t>
        </is>
      </c>
      <c r="C6" t="inlineStr">
        <is>
          <t>A005</t>
        </is>
      </c>
      <c r="D6" t="inlineStr">
        <is>
          <t>内容总结</t>
        </is>
      </c>
    </row>
    <row r="7">
      <c r="A7" t="inlineStr">
        <is>
          <t>S006</t>
        </is>
      </c>
      <c r="B7" t="inlineStr">
        <is>
          <t>分类客户反馈</t>
        </is>
      </c>
      <c r="C7" t="inlineStr">
        <is>
          <t>A006</t>
        </is>
      </c>
      <c r="D7" t="inlineStr">
        <is>
          <t>智能翻译</t>
        </is>
      </c>
    </row>
    <row r="8">
      <c r="A8" t="inlineStr">
        <is>
          <t>S007</t>
        </is>
      </c>
      <c r="B8" t="inlineStr">
        <is>
          <t>分派研发需求</t>
        </is>
      </c>
      <c r="C8" t="inlineStr">
        <is>
          <t>A007</t>
        </is>
      </c>
      <c r="D8" t="inlineStr">
        <is>
          <t>AI 智能洞察</t>
        </is>
      </c>
    </row>
    <row r="9">
      <c r="A9" t="inlineStr">
        <is>
          <t>S008</t>
        </is>
      </c>
      <c r="B9" t="inlineStr">
        <is>
          <t>评定缺陷等级</t>
        </is>
      </c>
      <c r="C9" t="inlineStr">
        <is>
          <t>A008</t>
        </is>
      </c>
      <c r="D9" t="inlineStr">
        <is>
          <t>AI 智能填单</t>
        </is>
      </c>
    </row>
    <row r="10">
      <c r="A10" t="inlineStr">
        <is>
          <t>S009</t>
        </is>
      </c>
      <c r="B10" t="inlineStr">
        <is>
          <t>分流客服工单</t>
        </is>
      </c>
      <c r="C10" t="inlineStr">
        <is>
          <t>A009</t>
        </is>
      </c>
      <c r="D10" t="inlineStr">
        <is>
          <t>智能测试用例生成</t>
        </is>
      </c>
    </row>
    <row r="11">
      <c r="A11" t="inlineStr">
        <is>
          <t>S010</t>
        </is>
      </c>
      <c r="B11" t="inlineStr">
        <is>
          <t>检查交付质量</t>
        </is>
      </c>
      <c r="C11" t="inlineStr">
        <is>
          <t>A010</t>
        </is>
      </c>
      <c r="D11" t="inlineStr">
        <is>
          <t>智能体连接器</t>
        </is>
      </c>
    </row>
    <row r="12">
      <c r="A12" t="inlineStr">
        <is>
          <t>S011</t>
        </is>
      </c>
      <c r="B12" t="inlineStr">
        <is>
          <t>检查需求合规</t>
        </is>
      </c>
      <c r="C12" t="inlineStr">
        <is>
          <t>A011</t>
        </is>
      </c>
      <c r="D12" t="inlineStr">
        <is>
          <t>AI 生成云文档</t>
        </is>
      </c>
    </row>
    <row r="13">
      <c r="A13" t="inlineStr">
        <is>
          <t>S012</t>
        </is>
      </c>
      <c r="B13" t="inlineStr">
        <is>
          <t>检查代码提交</t>
        </is>
      </c>
      <c r="C13" t="inlineStr">
        <is>
          <t>A012</t>
        </is>
      </c>
      <c r="D13" t="inlineStr">
        <is>
          <t>智能会议分析</t>
        </is>
      </c>
    </row>
    <row r="14">
      <c r="A14" t="inlineStr">
        <is>
          <t>S019</t>
        </is>
      </c>
      <c r="B14" t="inlineStr">
        <is>
          <t>检查设计规范</t>
        </is>
      </c>
      <c r="C14" t="inlineStr">
        <is>
          <t>A013</t>
        </is>
      </c>
      <c r="D14" t="inlineStr">
        <is>
          <t>AI 助手</t>
        </is>
      </c>
    </row>
    <row r="15">
      <c r="A15" t="inlineStr">
        <is>
          <t>S020</t>
        </is>
      </c>
      <c r="B15" t="inlineStr">
        <is>
          <t>评估变更影响</t>
        </is>
      </c>
      <c r="C15" t="inlineStr">
        <is>
          <t>A014</t>
        </is>
      </c>
      <c r="D15" t="inlineStr">
        <is>
          <t>AI 智能分配</t>
        </is>
      </c>
    </row>
    <row r="16">
      <c r="A16" t="inlineStr">
        <is>
          <t>S021</t>
        </is>
      </c>
      <c r="B16" t="inlineStr">
        <is>
          <t>预警供应链风险</t>
        </is>
      </c>
      <c r="C16" t="inlineStr">
        <is>
          <t>A015</t>
        </is>
      </c>
      <c r="D16" t="inlineStr">
        <is>
          <t>AI 缺陷分级</t>
        </is>
      </c>
    </row>
    <row r="17">
      <c r="A17" t="inlineStr">
        <is>
          <t>S022</t>
        </is>
      </c>
      <c r="B17" t="inlineStr">
        <is>
          <t>起草发布说明</t>
        </is>
      </c>
      <c r="C17" t="inlineStr">
        <is>
          <t>A016</t>
        </is>
      </c>
      <c r="D17" t="inlineStr">
        <is>
          <t>AI 工单分流</t>
        </is>
      </c>
    </row>
    <row r="18">
      <c r="A18" t="inlineStr">
        <is>
          <t>S023</t>
        </is>
      </c>
      <c r="B18" t="inlineStr">
        <is>
          <t>拆解项目计划</t>
        </is>
      </c>
      <c r="C18" t="inlineStr">
        <is>
          <t>A017</t>
        </is>
      </c>
      <c r="D18" t="inlineStr">
        <is>
          <t>AI 质量检查</t>
        </is>
      </c>
    </row>
    <row r="19">
      <c r="A19" t="inlineStr">
        <is>
          <t>S024</t>
        </is>
      </c>
      <c r="B19" t="inlineStr">
        <is>
          <t>生成测试用例</t>
        </is>
      </c>
      <c r="C19" t="inlineStr">
        <is>
          <t>A018</t>
        </is>
      </c>
      <c r="D19" t="inlineStr">
        <is>
          <t>AI 合规审计</t>
        </is>
      </c>
    </row>
    <row r="20">
      <c r="A20" t="inlineStr">
        <is>
          <t>S025</t>
        </is>
      </c>
      <c r="B20" t="inlineStr">
        <is>
          <t>响应系统故障</t>
        </is>
      </c>
      <c r="C20" t="inlineStr">
        <is>
          <t>A019</t>
        </is>
      </c>
      <c r="D20" t="inlineStr">
        <is>
          <t>AI 代码审查</t>
        </is>
      </c>
    </row>
    <row r="21">
      <c r="A21" t="inlineStr">
        <is>
          <t>S026</t>
        </is>
      </c>
      <c r="B21" t="inlineStr">
        <is>
          <t>补全需求描述</t>
        </is>
      </c>
      <c r="C21" t="inlineStr">
        <is>
          <t>A020</t>
        </is>
      </c>
      <c r="D21" t="inlineStr">
        <is>
          <t>AI 设计审查</t>
        </is>
      </c>
    </row>
    <row r="22">
      <c r="A22" t="inlineStr">
        <is>
          <t>S027</t>
        </is>
      </c>
      <c r="B22" t="inlineStr">
        <is>
          <t>生成缺陷报告</t>
        </is>
      </c>
      <c r="C22" t="inlineStr">
        <is>
          <t>A021</t>
        </is>
      </c>
      <c r="D22" t="inlineStr">
        <is>
          <t>AI 影响分析</t>
        </is>
      </c>
    </row>
    <row r="23">
      <c r="A23" t="inlineStr">
        <is>
          <t>S028</t>
        </is>
      </c>
      <c r="B23" t="inlineStr">
        <is>
          <t>补全企业信息</t>
        </is>
      </c>
      <c r="C23" t="inlineStr">
        <is>
          <t>A022</t>
        </is>
      </c>
      <c r="D23" t="inlineStr">
        <is>
          <t>AI 风险预警</t>
        </is>
      </c>
    </row>
    <row r="24">
      <c r="A24" t="inlineStr">
        <is>
          <t>S029</t>
        </is>
      </c>
      <c r="B24" t="inlineStr">
        <is>
          <t>审查金融合规</t>
        </is>
      </c>
      <c r="C24" t="inlineStr">
        <is>
          <t>A023</t>
        </is>
      </c>
      <c r="D24" t="inlineStr">
        <is>
          <t>AI 发布说明</t>
        </is>
      </c>
    </row>
    <row r="25">
      <c r="A25" t="inlineStr">
        <is>
          <t>S030</t>
        </is>
      </c>
      <c r="B25" t="inlineStr">
        <is>
          <t>评估投资风险</t>
        </is>
      </c>
      <c r="C25" t="inlineStr">
        <is>
          <t>A024</t>
        </is>
      </c>
      <c r="D25" t="inlineStr">
        <is>
          <t>AI 项目规划</t>
        </is>
      </c>
    </row>
    <row r="26">
      <c r="A26" t="inlineStr">
        <is>
          <t>S031</t>
        </is>
      </c>
      <c r="B26" t="inlineStr">
        <is>
          <t>评估销售线索</t>
        </is>
      </c>
      <c r="C26" t="inlineStr">
        <is>
          <t>A025</t>
        </is>
      </c>
      <c r="D26" t="inlineStr">
        <is>
          <t>AI 智能运维</t>
        </is>
      </c>
    </row>
    <row r="27">
      <c r="A27" t="inlineStr">
        <is>
          <t>S032</t>
        </is>
      </c>
      <c r="B27" t="inlineStr">
        <is>
          <t>预警项目延期</t>
        </is>
      </c>
      <c r="C27" t="inlineStr">
        <is>
          <t>A026</t>
        </is>
      </c>
      <c r="D27" t="inlineStr">
        <is>
          <t>AI 缺陷报告</t>
        </is>
      </c>
    </row>
    <row r="28">
      <c r="A28" t="inlineStr">
        <is>
          <t>S033</t>
        </is>
      </c>
      <c r="B28" t="inlineStr">
        <is>
          <t>预警预算超支</t>
        </is>
      </c>
      <c r="C28" t="inlineStr">
        <is>
          <t>A027</t>
        </is>
      </c>
      <c r="D28" t="inlineStr">
        <is>
          <t>AI 信息补全</t>
        </is>
      </c>
    </row>
    <row r="29">
      <c r="A29" t="inlineStr">
        <is>
          <t>S034</t>
        </is>
      </c>
      <c r="B29" t="inlineStr">
        <is>
          <t>预警客户流失</t>
        </is>
      </c>
      <c r="C29" t="inlineStr">
        <is>
          <t>A028</t>
        </is>
      </c>
      <c r="D29" t="inlineStr">
        <is>
          <t>AI 风险分析</t>
        </is>
      </c>
    </row>
    <row r="30">
      <c r="A30" t="inlineStr">
        <is>
          <t>S035</t>
        </is>
      </c>
      <c r="B30" t="inlineStr">
        <is>
          <t>检查申报材料</t>
        </is>
      </c>
      <c r="C30" t="inlineStr">
        <is>
          <t>A029</t>
        </is>
      </c>
      <c r="D30" t="inlineStr">
        <is>
          <t>AI 线索评分</t>
        </is>
      </c>
    </row>
    <row r="31">
      <c r="A31" t="inlineStr">
        <is>
          <t>S036</t>
        </is>
      </c>
      <c r="B31" t="inlineStr">
        <is>
          <t>评估门店选址</t>
        </is>
      </c>
      <c r="C31" t="inlineStr">
        <is>
          <t>A030</t>
        </is>
      </c>
      <c r="D31" t="inlineStr">
        <is>
          <t>AI 成本预警</t>
        </is>
      </c>
    </row>
    <row r="32">
      <c r="A32" t="inlineStr">
        <is>
          <t>S037</t>
        </is>
      </c>
      <c r="B32" t="inlineStr">
        <is>
          <t>审核报名资格</t>
        </is>
      </c>
      <c r="C32" t="inlineStr">
        <is>
          <t>A031</t>
        </is>
      </c>
      <c r="D32" t="inlineStr">
        <is>
          <t>AI 流失预警</t>
        </is>
      </c>
    </row>
    <row r="33">
      <c r="A33" t="inlineStr">
        <is>
          <t>S013</t>
        </is>
      </c>
      <c r="B33" t="inlineStr">
        <is>
          <t>外部工单接入项目闭环</t>
        </is>
      </c>
      <c r="C33" t="inlineStr">
        <is>
          <t>A032</t>
        </is>
      </c>
      <c r="D33" t="inlineStr">
        <is>
          <t>AI 选址评估</t>
        </is>
      </c>
    </row>
    <row r="34">
      <c r="A34" t="inlineStr">
        <is>
          <t>S014</t>
        </is>
      </c>
      <c r="B34" t="inlineStr">
        <is>
          <t>代码提交关联研发任务</t>
        </is>
      </c>
      <c r="C34" t="inlineStr">
        <is>
          <t>A033</t>
        </is>
      </c>
      <c r="D34" t="inlineStr">
        <is>
          <t>AI 资格审核</t>
        </is>
      </c>
    </row>
    <row r="35">
      <c r="A35" t="inlineStr">
        <is>
          <t>S015</t>
        </is>
      </c>
      <c r="B35" t="inlineStr">
        <is>
          <t>管理驾驶舱快速搭建</t>
        </is>
      </c>
    </row>
    <row r="36">
      <c r="A36" t="inlineStr">
        <is>
          <t>S016</t>
        </is>
      </c>
      <c r="B36" t="inlineStr">
        <is>
          <t>会议联动项目汇报</t>
        </is>
      </c>
    </row>
    <row r="37">
      <c r="A37" t="inlineStr">
        <is>
          <t>S017</t>
        </is>
      </c>
      <c r="B37" t="inlineStr">
        <is>
          <t>软件研发流程快速启用</t>
        </is>
      </c>
    </row>
    <row r="38">
      <c r="A38" t="inlineStr">
        <is>
          <t>S018</t>
        </is>
      </c>
      <c r="B38" t="inlineStr">
        <is>
          <t>整车研发跨域协同</t>
        </is>
      </c>
    </row>
    <row r="39">
      <c r="A39" t="inlineStr">
        <is>
          <t>S038</t>
        </is>
      </c>
      <c r="B39" t="inlineStr">
        <is>
          <t>撰写产品 PRD</t>
        </is>
      </c>
    </row>
    <row r="40">
      <c r="A40" t="inlineStr">
        <is>
          <t>S039</t>
        </is>
      </c>
      <c r="B40" t="inlineStr">
        <is>
          <t>走查产品需求</t>
        </is>
      </c>
    </row>
    <row r="41">
      <c r="A41" t="inlineStr">
        <is>
          <t>S040</t>
        </is>
      </c>
      <c r="B41" t="inlineStr">
        <is>
          <t>总结项目成果</t>
        </is>
      </c>
    </row>
    <row r="42">
      <c r="A42" t="inlineStr">
        <is>
          <t>S041</t>
        </is>
      </c>
      <c r="B42" t="inlineStr">
        <is>
          <t>撰写产品手册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2026-08-04T14:47:00Z</dcterms:created>
  <dcterms:modified xsi:type="dcterms:W3CDTF">2026-08-04T06:18:23Z</dcterms:modified>
  <cp:lastModifiedBy>xiaohe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DFC3B44AB3D589C468AC706A4224C08A_42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